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filterPrivacy="1"/>
  <xr:revisionPtr revIDLastSave="0" documentId="8_{8FA1F713-ABE9-3E47-9448-786BA8008FF6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Rohdaten" sheetId="7" r:id="rId1"/>
    <sheet name="Budget_vs_Ist Analyse" sheetId="8" r:id="rId2"/>
    <sheet name="Kostenarten Analyse" sheetId="9" r:id="rId3"/>
    <sheet name="Dashboard" sheetId="10" r:id="rId4"/>
  </sheets>
  <definedNames>
    <definedName name="_xlchart.v1.0" hidden="1">'Budget_vs_Ist Analyse'!$A$5:$A$16</definedName>
    <definedName name="_xlchart.v1.1" hidden="1">'Budget_vs_Ist Analyse'!$B$4</definedName>
    <definedName name="_xlchart.v1.10" hidden="1">'Kostenarten Analyse'!$B$9</definedName>
    <definedName name="_xlchart.v1.11" hidden="1">'Kostenarten Analyse'!$C$10:$C$15</definedName>
    <definedName name="_xlchart.v1.12" hidden="1">'Kostenarten Analyse'!$C$9</definedName>
    <definedName name="_xlchart.v1.2" hidden="1">'Budget_vs_Ist Analyse'!$B$5:$B$16</definedName>
    <definedName name="_xlchart.v1.3" hidden="1">'Budget_vs_Ist Analyse'!$C$4</definedName>
    <definedName name="_xlchart.v1.4" hidden="1">'Budget_vs_Ist Analyse'!$C$5:$C$16</definedName>
    <definedName name="_xlchart.v1.5" hidden="1">'Budget_vs_Ist Analyse'!$A$5:$A$17</definedName>
    <definedName name="_xlchart.v1.6" hidden="1">'Budget_vs_Ist Analyse'!$E$4</definedName>
    <definedName name="_xlchart.v1.7" hidden="1">'Budget_vs_Ist Analyse'!$E$5:$E$17</definedName>
    <definedName name="_xlchart.v1.8" hidden="1">'Kostenarten Analyse'!$A$10:$A$15</definedName>
    <definedName name="_xlchart.v1.9" hidden="1">'Kostenarten Analyse'!$B$10:$B$15</definedName>
    <definedName name="MonthlyChart_Data1">OFFSET(#REF!,0,0,1,MonthsWithActual)</definedName>
    <definedName name="MonthsWithActual">COUNTIF(#REF!,"&lt;&gt;"&amp;0)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8" l="1"/>
  <c r="M29" i="8"/>
  <c r="M30" i="8"/>
  <c r="M31" i="8"/>
  <c r="M32" i="8"/>
  <c r="M33" i="8"/>
  <c r="M34" i="8"/>
  <c r="M35" i="8"/>
  <c r="M36" i="8"/>
  <c r="M37" i="8"/>
  <c r="M38" i="8"/>
  <c r="M39" i="8"/>
  <c r="K28" i="8"/>
  <c r="K29" i="8"/>
  <c r="K30" i="8"/>
  <c r="K31" i="8"/>
  <c r="K32" i="8"/>
  <c r="K33" i="8"/>
  <c r="K34" i="8"/>
  <c r="K35" i="8"/>
  <c r="K36" i="8"/>
  <c r="K37" i="8"/>
  <c r="K38" i="8"/>
  <c r="K39" i="8"/>
  <c r="I28" i="8"/>
  <c r="I29" i="8"/>
  <c r="I30" i="8"/>
  <c r="I31" i="8"/>
  <c r="I32" i="8"/>
  <c r="I33" i="8"/>
  <c r="I34" i="8"/>
  <c r="I35" i="8"/>
  <c r="I36" i="8"/>
  <c r="I37" i="8"/>
  <c r="I38" i="8"/>
  <c r="I39" i="8"/>
  <c r="G29" i="8"/>
  <c r="G30" i="8"/>
  <c r="G31" i="8"/>
  <c r="G32" i="8"/>
  <c r="G33" i="8"/>
  <c r="G34" i="8"/>
  <c r="G35" i="8"/>
  <c r="G36" i="8"/>
  <c r="G37" i="8"/>
  <c r="G38" i="8"/>
  <c r="G39" i="8"/>
  <c r="G28" i="8"/>
  <c r="E29" i="8"/>
  <c r="E30" i="8"/>
  <c r="E31" i="8"/>
  <c r="E32" i="8"/>
  <c r="E33" i="8"/>
  <c r="E34" i="8"/>
  <c r="E35" i="8"/>
  <c r="E36" i="8"/>
  <c r="E37" i="8"/>
  <c r="E38" i="8"/>
  <c r="E39" i="8"/>
  <c r="E28" i="8"/>
  <c r="C30" i="8"/>
  <c r="C32" i="8"/>
  <c r="C33" i="8"/>
  <c r="C34" i="8"/>
  <c r="C38" i="8"/>
  <c r="B28" i="8"/>
  <c r="C28" i="8" s="1"/>
  <c r="B29" i="8"/>
  <c r="C29" i="8" s="1"/>
  <c r="B30" i="8"/>
  <c r="B31" i="8"/>
  <c r="C31" i="8" s="1"/>
  <c r="B32" i="8"/>
  <c r="B33" i="8"/>
  <c r="B34" i="8"/>
  <c r="B35" i="8"/>
  <c r="C35" i="8" s="1"/>
  <c r="B36" i="8"/>
  <c r="C36" i="8" s="1"/>
  <c r="B37" i="8"/>
  <c r="C37" i="8" s="1"/>
  <c r="B38" i="8"/>
  <c r="B39" i="8"/>
  <c r="C39" i="8" s="1"/>
  <c r="D29" i="8"/>
  <c r="D30" i="8"/>
  <c r="D31" i="8"/>
  <c r="D32" i="8"/>
  <c r="D33" i="8"/>
  <c r="D34" i="8"/>
  <c r="D35" i="8"/>
  <c r="D36" i="8"/>
  <c r="D37" i="8"/>
  <c r="D38" i="8"/>
  <c r="D39" i="8"/>
  <c r="D40" i="8"/>
  <c r="F28" i="8"/>
  <c r="H28" i="8"/>
  <c r="J28" i="8"/>
  <c r="L28" i="8"/>
  <c r="F29" i="8"/>
  <c r="H29" i="8"/>
  <c r="J29" i="8"/>
  <c r="L29" i="8"/>
  <c r="F30" i="8"/>
  <c r="H30" i="8"/>
  <c r="J30" i="8"/>
  <c r="L30" i="8"/>
  <c r="F31" i="8"/>
  <c r="H31" i="8"/>
  <c r="J31" i="8"/>
  <c r="L31" i="8"/>
  <c r="F32" i="8"/>
  <c r="H32" i="8"/>
  <c r="J32" i="8"/>
  <c r="L32" i="8"/>
  <c r="F33" i="8"/>
  <c r="H33" i="8"/>
  <c r="J33" i="8"/>
  <c r="L33" i="8"/>
  <c r="F34" i="8"/>
  <c r="H34" i="8"/>
  <c r="J34" i="8"/>
  <c r="L34" i="8"/>
  <c r="F35" i="8"/>
  <c r="H35" i="8"/>
  <c r="J35" i="8"/>
  <c r="L35" i="8"/>
  <c r="F36" i="8"/>
  <c r="H36" i="8"/>
  <c r="J36" i="8"/>
  <c r="L36" i="8"/>
  <c r="F37" i="8"/>
  <c r="H37" i="8"/>
  <c r="J37" i="8"/>
  <c r="L37" i="8"/>
  <c r="F38" i="8"/>
  <c r="H38" i="8"/>
  <c r="J38" i="8"/>
  <c r="L38" i="8"/>
  <c r="F39" i="8"/>
  <c r="H39" i="8"/>
  <c r="J39" i="8"/>
  <c r="L39" i="8"/>
  <c r="F40" i="8"/>
  <c r="H40" i="8"/>
  <c r="J40" i="8"/>
  <c r="L40" i="8"/>
  <c r="D28" i="8"/>
  <c r="D11" i="9"/>
  <c r="E11" i="9" s="1"/>
  <c r="G11" i="9" s="1"/>
  <c r="D12" i="9"/>
  <c r="E12" i="9" s="1"/>
  <c r="G12" i="9" s="1"/>
  <c r="D13" i="9"/>
  <c r="E13" i="9" s="1"/>
  <c r="G13" i="9" s="1"/>
  <c r="D14" i="9"/>
  <c r="E14" i="9" s="1"/>
  <c r="G14" i="9" s="1"/>
  <c r="D15" i="9"/>
  <c r="E15" i="9" s="1"/>
  <c r="G15" i="9" s="1"/>
  <c r="D10" i="9"/>
  <c r="E10" i="9" s="1"/>
  <c r="G10" i="9" s="1"/>
  <c r="C16" i="9"/>
  <c r="C15" i="9"/>
  <c r="C14" i="9"/>
  <c r="C13" i="9"/>
  <c r="C12" i="9"/>
  <c r="C11" i="9"/>
  <c r="C10" i="9"/>
  <c r="B16" i="9"/>
  <c r="F15" i="9" s="1"/>
  <c r="B15" i="9"/>
  <c r="B14" i="9"/>
  <c r="B13" i="9"/>
  <c r="B12" i="9"/>
  <c r="B11" i="9"/>
  <c r="B10" i="9"/>
  <c r="C6" i="8"/>
  <c r="C7" i="8"/>
  <c r="C8" i="8"/>
  <c r="C9" i="8"/>
  <c r="C10" i="8"/>
  <c r="C11" i="8"/>
  <c r="C12" i="8"/>
  <c r="C13" i="8"/>
  <c r="C14" i="8"/>
  <c r="C15" i="8"/>
  <c r="C16" i="8"/>
  <c r="C5" i="8"/>
  <c r="B6" i="8"/>
  <c r="B7" i="8"/>
  <c r="B8" i="8"/>
  <c r="B9" i="8"/>
  <c r="B10" i="8"/>
  <c r="B11" i="8"/>
  <c r="B12" i="8"/>
  <c r="B13" i="8"/>
  <c r="B14" i="8"/>
  <c r="B15" i="8"/>
  <c r="B16" i="8"/>
  <c r="B5" i="8"/>
  <c r="H27" i="7"/>
  <c r="H28" i="7"/>
  <c r="H29" i="7"/>
  <c r="H30" i="7"/>
  <c r="H31" i="7"/>
  <c r="H32" i="7"/>
  <c r="H33" i="7"/>
  <c r="H34" i="7"/>
  <c r="H35" i="7"/>
  <c r="H36" i="7"/>
  <c r="H37" i="7"/>
  <c r="H26" i="7"/>
  <c r="H9" i="7"/>
  <c r="H10" i="7"/>
  <c r="H11" i="7"/>
  <c r="H12" i="7"/>
  <c r="H13" i="7"/>
  <c r="H14" i="7"/>
  <c r="H15" i="7"/>
  <c r="H16" i="7"/>
  <c r="H17" i="7"/>
  <c r="H18" i="7"/>
  <c r="H19" i="7"/>
  <c r="H8" i="7"/>
  <c r="B40" i="8" l="1"/>
  <c r="C40" i="8" s="1"/>
  <c r="D14" i="8"/>
  <c r="E14" i="8" s="1"/>
  <c r="F14" i="8" s="1"/>
  <c r="B17" i="8"/>
  <c r="D6" i="8"/>
  <c r="E6" i="8" s="1"/>
  <c r="F6" i="8" s="1"/>
  <c r="D8" i="8"/>
  <c r="E8" i="8" s="1"/>
  <c r="F8" i="8" s="1"/>
  <c r="D16" i="8"/>
  <c r="E16" i="8" s="1"/>
  <c r="F16" i="8" s="1"/>
  <c r="D15" i="8"/>
  <c r="E15" i="8" s="1"/>
  <c r="F15" i="8" s="1"/>
  <c r="D7" i="8"/>
  <c r="E7" i="8" s="1"/>
  <c r="F7" i="8" s="1"/>
  <c r="F12" i="9"/>
  <c r="F14" i="9"/>
  <c r="F13" i="9"/>
  <c r="D16" i="9"/>
  <c r="E16" i="9" s="1"/>
  <c r="G16" i="9" s="1"/>
  <c r="F10" i="9"/>
  <c r="F16" i="9"/>
  <c r="F11" i="9"/>
  <c r="D5" i="8"/>
  <c r="E5" i="8" s="1"/>
  <c r="F5" i="8" s="1"/>
  <c r="D13" i="8"/>
  <c r="E13" i="8" s="1"/>
  <c r="F13" i="8" s="1"/>
  <c r="C17" i="8"/>
  <c r="D9" i="8"/>
  <c r="E9" i="8" s="1"/>
  <c r="F9" i="8" s="1"/>
  <c r="D12" i="8"/>
  <c r="E12" i="8" s="1"/>
  <c r="F12" i="8" s="1"/>
  <c r="D11" i="8"/>
  <c r="E11" i="8" s="1"/>
  <c r="F11" i="8" s="1"/>
  <c r="D10" i="8"/>
  <c r="E10" i="8" s="1"/>
  <c r="F10" i="8" s="1"/>
  <c r="D17" i="8" l="1"/>
  <c r="E17" i="8" s="1"/>
  <c r="F17" i="8" s="1"/>
</calcChain>
</file>

<file path=xl/sharedStrings.xml><?xml version="1.0" encoding="utf-8"?>
<sst xmlns="http://schemas.openxmlformats.org/spreadsheetml/2006/main" count="64" uniqueCount="48">
  <si>
    <t>Budget</t>
  </si>
  <si>
    <t>Monat</t>
  </si>
  <si>
    <t>Development kosten</t>
  </si>
  <si>
    <t>Development Kosten</t>
  </si>
  <si>
    <t>Operatinal Kosten</t>
  </si>
  <si>
    <t>Marketing Kosten</t>
  </si>
  <si>
    <t>Travelling Kosten</t>
  </si>
  <si>
    <t xml:space="preserve">Training Kosten </t>
  </si>
  <si>
    <t xml:space="preserve">Maintenance Kosten </t>
  </si>
  <si>
    <t>Actual (IST)</t>
  </si>
  <si>
    <t>Total</t>
  </si>
  <si>
    <t>Budget Gesamt</t>
  </si>
  <si>
    <t>IST Gesamt</t>
  </si>
  <si>
    <t>Gesamt</t>
  </si>
  <si>
    <t>Abw.</t>
  </si>
  <si>
    <t>Abw.%</t>
  </si>
  <si>
    <t>Dev.Abw</t>
  </si>
  <si>
    <t>Oper.Abw</t>
  </si>
  <si>
    <t>Mark.Abw</t>
  </si>
  <si>
    <t>Trav.Abw</t>
  </si>
  <si>
    <t>Train.Abw</t>
  </si>
  <si>
    <t>Main.Abw</t>
  </si>
  <si>
    <t>Ampel</t>
  </si>
  <si>
    <t>Kostenart</t>
  </si>
  <si>
    <t>Operational Kosten</t>
  </si>
  <si>
    <t xml:space="preserve">Marketing Kosten </t>
  </si>
  <si>
    <t xml:space="preserve">Travelling Kosten </t>
  </si>
  <si>
    <t>Maintenance Kosten</t>
  </si>
  <si>
    <t xml:space="preserve">Budget Gesamt </t>
  </si>
  <si>
    <t xml:space="preserve">Ist Gesamt </t>
  </si>
  <si>
    <t>Anteil Budget</t>
  </si>
  <si>
    <t>Gesamt Budget</t>
  </si>
  <si>
    <t>1.762.200 Euro</t>
  </si>
  <si>
    <t>Gesamt IST</t>
  </si>
  <si>
    <t>1.718.180 Euro</t>
  </si>
  <si>
    <t>Geasamtabweichung</t>
  </si>
  <si>
    <t>44.020 Euro</t>
  </si>
  <si>
    <t>Abweichung %</t>
  </si>
  <si>
    <t>Controlling Dashboard - Budget-Ist-Analyse 2023</t>
  </si>
  <si>
    <t>Dev.Abw.%</t>
  </si>
  <si>
    <t>Oper.Abw%</t>
  </si>
  <si>
    <t>Mark.Abw%</t>
  </si>
  <si>
    <t>Trav.Abw%</t>
  </si>
  <si>
    <t>Train.Abw%</t>
  </si>
  <si>
    <t>Main.Abw%</t>
  </si>
  <si>
    <t>Monatliche Budget vs. Ist Abweichungsanalyse 2023</t>
  </si>
  <si>
    <t>Monatliche Budget vs. Ist Abweichungsanalyse nach Kostenart 2023</t>
  </si>
  <si>
    <t>Abweichungsanalyse Budget vs. Ist nach Kostenart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</si>
</sst>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5" formatCode="_-* #,##0.00\ [$€-407]_-;\-* #,##0.00\ [$€-407]_-;_-* &quot;-&quot;??\ [$€-407]_-;_-@_-"/>
    <numFmt numFmtId="166" formatCode="_-* #,##0.0\ [$€-407]_-;\-* #,##0.0\ [$€-407]_-;_-* &quot;-&quot;??\ [$€-407]_-;_-@_-"/>
    <numFmt numFmtId="167" formatCode="_-* #,##0\ [$€-407]_-;\-* #,##0\ [$€-407]_-;_-* &quot;-&quot;??\ [$€-407]_-;_-@_-"/>
    <numFmt numFmtId="170" formatCode="0.0%"/>
    <numFmt numFmtId="171" formatCode="[$-407]mmmm\ yy;@"/>
  </numFmts>
  <fonts count="14" x14ac:knownFonts="1">
    <font>
      <sz val="11"/>
      <color theme="1"/>
      <name val="Palatino Linotype"/>
      <family val="2"/>
      <scheme val="minor"/>
    </font>
    <font>
      <sz val="11"/>
      <color theme="1"/>
      <name val="Palatino Linotype"/>
      <family val="2"/>
      <scheme val="minor"/>
    </font>
    <font>
      <b/>
      <sz val="11"/>
      <color theme="0"/>
      <name val="Palatino Linotype"/>
      <family val="2"/>
      <scheme val="minor"/>
    </font>
    <font>
      <sz val="14"/>
      <color theme="0"/>
      <name val="Corbel (Überschriften)"/>
    </font>
    <font>
      <sz val="14"/>
      <color theme="0"/>
      <name val="Palatino Linotype (Textkörper)"/>
    </font>
    <font>
      <sz val="12"/>
      <color theme="0"/>
      <name val="Palatino Linotype (Textkörper)"/>
    </font>
    <font>
      <sz val="8"/>
      <name val="Palatino Linotype"/>
      <family val="2"/>
      <scheme val="minor"/>
    </font>
    <font>
      <sz val="12"/>
      <color theme="1"/>
      <name val="Palatino Linotype (Textkörper)"/>
    </font>
    <font>
      <b/>
      <sz val="18"/>
      <color theme="1"/>
      <name val="Palatino Linotype (Textkörper)"/>
    </font>
    <font>
      <b/>
      <sz val="16"/>
      <color theme="1"/>
      <name val="Palatino Linotype (Textkörper)"/>
    </font>
    <font>
      <b/>
      <sz val="14"/>
      <color theme="1"/>
      <name val="Palatino Linotype (Textkörper)"/>
    </font>
    <font>
      <b/>
      <sz val="14"/>
      <color theme="1"/>
      <name val="Palatino Linotype"/>
      <family val="1"/>
      <scheme val="minor"/>
    </font>
    <font>
      <sz val="11"/>
      <color theme="8" tint="-0.249977111117893"/>
      <name val="Palatino Linotype"/>
      <family val="2"/>
      <scheme val="minor"/>
    </font>
    <font>
      <sz val="11"/>
      <color theme="0"/>
      <name val="Palatino Linotype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17" fontId="0" fillId="0" borderId="0" xfId="0" applyNumberFormat="1"/>
    <xf numFmtId="0" fontId="0" fillId="0" borderId="0" xfId="0" applyAlignment="1"/>
    <xf numFmtId="0" fontId="2" fillId="2" borderId="1" xfId="0" applyFont="1" applyFill="1" applyBorder="1"/>
    <xf numFmtId="166" fontId="0" fillId="0" borderId="0" xfId="0" applyNumberFormat="1"/>
    <xf numFmtId="167" fontId="0" fillId="0" borderId="0" xfId="0" applyNumberFormat="1"/>
    <xf numFmtId="0" fontId="0" fillId="5" borderId="0" xfId="0" applyFill="1"/>
    <xf numFmtId="0" fontId="3" fillId="5" borderId="0" xfId="0" applyFont="1" applyFill="1"/>
    <xf numFmtId="17" fontId="0" fillId="6" borderId="0" xfId="0" applyNumberFormat="1" applyFill="1"/>
    <xf numFmtId="17" fontId="5" fillId="6" borderId="0" xfId="0" applyNumberFormat="1" applyFont="1" applyFill="1"/>
    <xf numFmtId="17" fontId="0" fillId="4" borderId="5" xfId="0" applyNumberFormat="1" applyFont="1" applyFill="1" applyBorder="1"/>
    <xf numFmtId="167" fontId="0" fillId="3" borderId="8" xfId="0" applyNumberFormat="1" applyFont="1" applyFill="1" applyBorder="1"/>
    <xf numFmtId="0" fontId="2" fillId="2" borderId="2" xfId="0" applyFont="1" applyFill="1" applyBorder="1"/>
    <xf numFmtId="0" fontId="2" fillId="2" borderId="7" xfId="0" applyFont="1" applyFill="1" applyBorder="1"/>
    <xf numFmtId="167" fontId="0" fillId="0" borderId="0" xfId="0" applyNumberFormat="1" applyBorder="1"/>
    <xf numFmtId="170" fontId="0" fillId="0" borderId="0" xfId="1" applyNumberFormat="1" applyFont="1"/>
    <xf numFmtId="0" fontId="4" fillId="5" borderId="0" xfId="0" applyFont="1" applyFill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71" fontId="0" fillId="3" borderId="3" xfId="0" applyNumberFormat="1" applyFont="1" applyFill="1" applyBorder="1"/>
    <xf numFmtId="171" fontId="0" fillId="4" borderId="3" xfId="0" applyNumberFormat="1" applyFont="1" applyFill="1" applyBorder="1"/>
    <xf numFmtId="171" fontId="0" fillId="4" borderId="5" xfId="0" applyNumberFormat="1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8" fillId="7" borderId="0" xfId="0" applyFont="1" applyFill="1" applyAlignment="1">
      <alignment horizontal="center"/>
    </xf>
    <xf numFmtId="0" fontId="0" fillId="8" borderId="0" xfId="0" applyFill="1"/>
    <xf numFmtId="165" fontId="0" fillId="8" borderId="0" xfId="0" applyNumberFormat="1" applyFill="1" applyAlignment="1"/>
    <xf numFmtId="167" fontId="10" fillId="8" borderId="0" xfId="0" applyNumberFormat="1" applyFont="1" applyFill="1" applyAlignment="1">
      <alignment horizontal="center" vertical="center"/>
    </xf>
    <xf numFmtId="0" fontId="0" fillId="7" borderId="0" xfId="0" applyFont="1" applyFill="1"/>
    <xf numFmtId="0" fontId="0" fillId="0" borderId="0" xfId="0" applyAlignment="1">
      <alignment horizontal="center" vertical="center"/>
    </xf>
    <xf numFmtId="0" fontId="9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9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right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/>
    <xf numFmtId="10" fontId="11" fillId="8" borderId="0" xfId="0" applyNumberFormat="1" applyFont="1" applyFill="1" applyAlignment="1">
      <alignment horizontal="center"/>
    </xf>
    <xf numFmtId="167" fontId="0" fillId="3" borderId="4" xfId="0" applyNumberFormat="1" applyFont="1" applyFill="1" applyBorder="1"/>
    <xf numFmtId="167" fontId="0" fillId="3" borderId="6" xfId="0" applyNumberFormat="1" applyFont="1" applyFill="1" applyBorder="1"/>
    <xf numFmtId="167" fontId="0" fillId="3" borderId="9" xfId="0" applyNumberFormat="1" applyFont="1" applyFill="1" applyBorder="1"/>
    <xf numFmtId="0" fontId="0" fillId="9" borderId="0" xfId="0" applyFill="1"/>
    <xf numFmtId="0" fontId="0" fillId="9" borderId="0" xfId="0" applyFill="1" applyAlignment="1">
      <alignment horizontal="center"/>
    </xf>
    <xf numFmtId="0" fontId="8" fillId="9" borderId="0" xfId="0" applyFont="1" applyFill="1" applyAlignment="1"/>
    <xf numFmtId="170" fontId="0" fillId="3" borderId="4" xfId="1" applyNumberFormat="1" applyFont="1" applyFill="1" applyBorder="1"/>
    <xf numFmtId="10" fontId="0" fillId="3" borderId="4" xfId="1" applyNumberFormat="1" applyFont="1" applyFill="1" applyBorder="1"/>
    <xf numFmtId="170" fontId="0" fillId="3" borderId="10" xfId="1" applyNumberFormat="1" applyFont="1" applyFill="1" applyBorder="1"/>
    <xf numFmtId="170" fontId="0" fillId="3" borderId="6" xfId="1" applyNumberFormat="1" applyFont="1" applyFill="1" applyBorder="1"/>
    <xf numFmtId="10" fontId="0" fillId="3" borderId="6" xfId="1" applyNumberFormat="1" applyFont="1" applyFill="1" applyBorder="1"/>
    <xf numFmtId="9" fontId="0" fillId="3" borderId="9" xfId="1" applyFont="1" applyFill="1" applyBorder="1"/>
    <xf numFmtId="170" fontId="0" fillId="3" borderId="8" xfId="1" applyNumberFormat="1" applyFont="1" applyFill="1" applyBorder="1"/>
    <xf numFmtId="0" fontId="12" fillId="0" borderId="0" xfId="0" applyFont="1"/>
    <xf numFmtId="0" fontId="13" fillId="5" borderId="0" xfId="0" applyFont="1" applyFill="1"/>
  </cellXfs>
  <cellStyles count="2">
    <cellStyle name="Prozent" xfId="1" builtinId="5"/>
    <cellStyle name="Standard" xfId="0" builtinId="0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2"/>
        <scheme val="minor"/>
      </font>
      <numFmt numFmtId="170" formatCode="0.0%"/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2"/>
        <scheme val="minor"/>
      </font>
      <numFmt numFmtId="170" formatCode="0.0%"/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2"/>
        <scheme val="minor"/>
      </font>
      <numFmt numFmtId="170" formatCode="0.0%"/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2"/>
        <scheme val="minor"/>
      </font>
      <numFmt numFmtId="170" formatCode="0.0%"/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2"/>
        <scheme val="minor"/>
      </font>
      <numFmt numFmtId="170" formatCode="0.0%"/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2"/>
        <scheme val="minor"/>
      </font>
      <numFmt numFmtId="174" formatCode="_-* #,##0.00000\ [$€-407]_-;\-* #,##0.00000\ [$€-407]_-;_-* &quot;-&quot;??\ [$€-407]_-;_-@_-"/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2"/>
        <scheme val="minor"/>
      </font>
      <numFmt numFmtId="167" formatCode="_-* #,##0\ [$€-407]_-;\-* #,##0\ [$€-407]_-;_-* &quot;-&quot;??\ [$€-407]_-;_-@_-"/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Palatino Linotype"/>
        <family val="2"/>
        <scheme val="minor"/>
      </font>
      <fill>
        <patternFill patternType="solid">
          <fgColor theme="8"/>
          <bgColor theme="8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2"/>
        <scheme val="minor"/>
      </font>
      <fill>
        <patternFill patternType="solid">
          <fgColor theme="8" tint="0.5999938962981048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2"/>
        <scheme val="minor"/>
      </font>
      <numFmt numFmtId="167" formatCode="_-* #,##0\ [$€-407]_-;\-* #,##0\ [$€-407]_-;_-* &quot;-&quot;??\ [$€-407]_-;_-@_-"/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2"/>
        <scheme val="minor"/>
      </font>
      <numFmt numFmtId="167" formatCode="_-* #,##0\ [$€-407]_-;\-* #,##0\ [$€-407]_-;_-* &quot;-&quot;??\ [$€-407]_-;_-@_-"/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2"/>
        <scheme val="minor"/>
      </font>
      <numFmt numFmtId="167" formatCode="_-* #,##0\ [$€-407]_-;\-* #,##0\ [$€-407]_-;_-* &quot;-&quot;??\ [$€-407]_-;_-@_-"/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2"/>
        <scheme val="minor"/>
      </font>
      <numFmt numFmtId="167" formatCode="_-* #,##0\ [$€-407]_-;\-* #,##0\ [$€-407]_-;_-* &quot;-&quot;??\ [$€-407]_-;_-@_-"/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2"/>
        <scheme val="minor"/>
      </font>
      <numFmt numFmtId="167" formatCode="_-* #,##0\ [$€-407]_-;\-* #,##0\ [$€-407]_-;_-* &quot;-&quot;??\ [$€-407]_-;_-@_-"/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right style="thin">
          <color theme="0"/>
        </right>
      </border>
    </dxf>
    <dxf>
      <numFmt numFmtId="0" formatCode="General"/>
    </dxf>
    <dxf>
      <numFmt numFmtId="170" formatCode="0.0%"/>
    </dxf>
    <dxf>
      <numFmt numFmtId="0" formatCode="General"/>
    </dxf>
    <dxf>
      <numFmt numFmtId="167" formatCode="_-* #,##0\ [$€-407]_-;\-* #,##0\ [$€-407]_-;_-* &quot;-&quot;??\ [$€-407]_-;_-@_-"/>
    </dxf>
    <dxf>
      <numFmt numFmtId="167" formatCode="_-* #,##0\ [$€-407]_-;\-* #,##0\ [$€-407]_-;_-* &quot;-&quot;??\ [$€-407]_-;_-@_-"/>
    </dxf>
    <dxf>
      <numFmt numFmtId="170" formatCode="0.0%"/>
    </dxf>
    <dxf>
      <numFmt numFmtId="170" formatCode="0.0%"/>
    </dxf>
    <dxf>
      <numFmt numFmtId="167" formatCode="_-* #,##0\ [$€-407]_-;\-* #,##0\ [$€-407]_-;_-* &quot;-&quot;??\ [$€-407]_-;_-@_-"/>
    </dxf>
    <dxf>
      <numFmt numFmtId="167" formatCode="_-* #,##0\ [$€-407]_-;\-* #,##0\ [$€-407]_-;_-* &quot;-&quot;??\ [$€-407]_-;_-@_-"/>
    </dxf>
    <dxf>
      <numFmt numFmtId="167" formatCode="_-* #,##0\ [$€-407]_-;\-* #,##0\ [$€-407]_-;_-* &quot;-&quot;??\ [$€-407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2"/>
        <scheme val="minor"/>
      </font>
      <numFmt numFmtId="22" formatCode="mmm\ yy"/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7" formatCode="_-* #,##0\ [$€-407]_-;\-* #,##0\ [$€-407]_-;_-* &quot;-&quot;??\ [$€-407]_-;_-@_-"/>
    </dxf>
    <dxf>
      <numFmt numFmtId="167" formatCode="_-* #,##0\ [$€-407]_-;\-* #,##0\ [$€-407]_-;_-* &quot;-&quot;??\ [$€-407]_-;_-@_-"/>
    </dxf>
    <dxf>
      <numFmt numFmtId="167" formatCode="_-* #,##0\ [$€-407]_-;\-* #,##0\ [$€-407]_-;_-* &quot;-&quot;??\ [$€-407]_-;_-@_-"/>
    </dxf>
    <dxf>
      <numFmt numFmtId="167" formatCode="_-* #,##0\ [$€-407]_-;\-* #,##0\ [$€-407]_-;_-* &quot;-&quot;??\ [$€-407]_-;_-@_-"/>
    </dxf>
    <dxf>
      <numFmt numFmtId="167" formatCode="_-* #,##0\ [$€-407]_-;\-* #,##0\ [$€-407]_-;_-* &quot;-&quot;??\ [$€-407]_-;_-@_-"/>
    </dxf>
    <dxf>
      <numFmt numFmtId="167" formatCode="_-* #,##0\ [$€-407]_-;\-* #,##0\ [$€-407]_-;_-* &quot;-&quot;??\ [$€-407]_-;_-@_-"/>
    </dxf>
    <dxf>
      <numFmt numFmtId="166" formatCode="_-* #,##0.0\ [$€-407]_-;\-* #,##0.0\ [$€-407]_-;_-* &quot;-&quot;??\ [$€-407]_-;_-@_-"/>
    </dxf>
    <dxf>
      <numFmt numFmtId="167" formatCode="_-* #,##0\ [$€-407]_-;\-* #,##0\ [$€-407]_-;_-* &quot;-&quot;??\ [$€-407]_-;_-@_-"/>
    </dxf>
    <dxf>
      <numFmt numFmtId="166" formatCode="_-* #,##0.0\ [$€-407]_-;\-* #,##0.0\ [$€-407]_-;_-* &quot;-&quot;??\ [$€-407]_-;_-@_-"/>
    </dxf>
    <dxf>
      <numFmt numFmtId="22" formatCode="mmm\ yy"/>
    </dxf>
    <dxf>
      <numFmt numFmtId="167" formatCode="_-* #,##0\ [$€-407]_-;\-* #,##0\ [$€-407]_-;_-* &quot;-&quot;??\ [$€-407]_-;_-@_-"/>
    </dxf>
    <dxf>
      <numFmt numFmtId="167" formatCode="_-* #,##0\ [$€-407]_-;\-* #,##0\ [$€-407]_-;_-* &quot;-&quot;??\ [$€-407]_-;_-@_-"/>
    </dxf>
    <dxf>
      <numFmt numFmtId="167" formatCode="_-* #,##0\ [$€-407]_-;\-* #,##0\ [$€-407]_-;_-* &quot;-&quot;??\ [$€-407]_-;_-@_-"/>
    </dxf>
    <dxf>
      <numFmt numFmtId="167" formatCode="_-* #,##0\ [$€-407]_-;\-* #,##0\ [$€-407]_-;_-* &quot;-&quot;??\ [$€-407]_-;_-@_-"/>
    </dxf>
    <dxf>
      <numFmt numFmtId="22" formatCode="mmm\ yy"/>
    </dxf>
    <dxf>
      <alignment horizontal="general" vertical="bottom" textRotation="0" wrapText="0" indent="0" justifyLastLine="0" shrinkToFit="0" readingOrder="0"/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border>
        <bottom style="thin">
          <color theme="6"/>
        </bottom>
      </border>
    </dxf>
    <dxf>
      <font>
        <color theme="6" tint="-0.249977111117893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ableStyleLight4 2" pivot="0" count="7" xr9:uid="{00000000-0011-0000-FFFF-FFFF00000000}">
      <tableStyleElement type="wholeTable" dxfId="66"/>
      <tableStyleElement type="headerRow" dxfId="65"/>
      <tableStyleElement type="totalRow" dxfId="64"/>
      <tableStyleElement type="firstColumn" dxfId="63"/>
      <tableStyleElement type="lastColumn" dxfId="62"/>
      <tableStyleElement type="firstRowStripe" dxfId="61"/>
      <tableStyleElement type="firstColumnStripe" dxfId="60"/>
    </tableStyle>
  </tableStyles>
  <colors>
    <mruColors>
      <color rgb="FFE884A8"/>
      <color rgb="FF7278E2"/>
      <color rgb="FFE59BDF"/>
      <color rgb="FF67D9DC"/>
      <color rgb="FFEB57E0"/>
      <color rgb="FFD3A9DD"/>
      <color rgb="FFFFE2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600" b="1"/>
              <a:t>Monatliche Budget vs. Ist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'Budget_vs_Ist Analyse'!$B$4</c:f>
              <c:strCache>
                <c:ptCount val="1"/>
                <c:pt idx="0">
                  <c:v>Budget Gesamt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'Budget_vs_Ist Analyse'!$A$5:$A$16</c:f>
              <c:numCache>
                <c:formatCode>[$-407]mmmm\ yy;@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'Budget_vs_Ist Analyse'!$B$5:$B$16</c:f>
              <c:numCache>
                <c:formatCode>_-* #,##0\ [$€-407]_-;\-* #,##0\ [$€-407]_-;_-* "-"??\ [$€-407]_-;_-@_-</c:formatCode>
                <c:ptCount val="12"/>
                <c:pt idx="0">
                  <c:v>143000</c:v>
                </c:pt>
                <c:pt idx="1">
                  <c:v>138000</c:v>
                </c:pt>
                <c:pt idx="2">
                  <c:v>139000</c:v>
                </c:pt>
                <c:pt idx="3">
                  <c:v>143000</c:v>
                </c:pt>
                <c:pt idx="4">
                  <c:v>141100</c:v>
                </c:pt>
                <c:pt idx="5">
                  <c:v>146100</c:v>
                </c:pt>
                <c:pt idx="6">
                  <c:v>149000</c:v>
                </c:pt>
                <c:pt idx="7">
                  <c:v>154000</c:v>
                </c:pt>
                <c:pt idx="8">
                  <c:v>152000</c:v>
                </c:pt>
                <c:pt idx="9">
                  <c:v>151000</c:v>
                </c:pt>
                <c:pt idx="10">
                  <c:v>151000</c:v>
                </c:pt>
                <c:pt idx="11">
                  <c:v>155000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0-C34B-93D9-01372764CCA8}"/>
            </c:ext>
          </c:extLst>
        </c:ser>
        <c:ser>
          <c:idx val="1"/>
          <c:order val="1"/>
          <c:tx>
            <c:strRef>
              <c:f>'Budget_vs_Ist Analyse'!$C$4</c:f>
              <c:strCache>
                <c:ptCount val="1"/>
                <c:pt idx="0">
                  <c:v>IST Gesamt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'Budget_vs_Ist Analyse'!$A$5:$A$16</c:f>
              <c:numCache>
                <c:formatCode>[$-407]mmmm\ yy;@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'Budget_vs_Ist Analyse'!$C$5:$C$16</c:f>
              <c:numCache>
                <c:formatCode>_-* #,##0\ [$€-407]_-;\-* #,##0\ [$€-407]_-;_-* "-"??\ [$€-407]_-;_-@_-</c:formatCode>
                <c:ptCount val="12"/>
                <c:pt idx="0">
                  <c:v>144270</c:v>
                </c:pt>
                <c:pt idx="1">
                  <c:v>135854</c:v>
                </c:pt>
                <c:pt idx="2">
                  <c:v>141853</c:v>
                </c:pt>
                <c:pt idx="3">
                  <c:v>148990</c:v>
                </c:pt>
                <c:pt idx="4">
                  <c:v>137968</c:v>
                </c:pt>
                <c:pt idx="5">
                  <c:v>146960</c:v>
                </c:pt>
                <c:pt idx="6">
                  <c:v>133733</c:v>
                </c:pt>
                <c:pt idx="7">
                  <c:v>143800</c:v>
                </c:pt>
                <c:pt idx="8">
                  <c:v>140070</c:v>
                </c:pt>
                <c:pt idx="9">
                  <c:v>142238</c:v>
                </c:pt>
                <c:pt idx="10">
                  <c:v>151154</c:v>
                </c:pt>
                <c:pt idx="11">
                  <c:v>151290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40-C34B-93D9-01372764C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995805136"/>
        <c:axId val="1995806864"/>
      </c:lineChart>
      <c:dateAx>
        <c:axId val="1995805136"/>
        <c:scaling>
          <c:orientation val="minMax"/>
        </c:scaling>
        <c:delete val="0"/>
        <c:axPos val="b"/>
        <c:numFmt formatCode="[$-407]mmmm\ 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5806864"/>
        <c:crosses val="autoZero"/>
        <c:auto val="1"/>
        <c:lblOffset val="100"/>
        <c:baseTimeUnit val="months"/>
      </c:dateAx>
      <c:valAx>
        <c:axId val="1995806864"/>
        <c:scaling>
          <c:orientation val="minMax"/>
        </c:scaling>
        <c:delete val="0"/>
        <c:axPos val="l"/>
        <c:numFmt formatCode="_-* #,##0\ [$€-407]_-;\-* #,##0\ [$€-407]_-;_-* &quot;-&quot;??\ [$€-407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580513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6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Palatino Linotype"/>
              </a:rPr>
              <a:t>Monatliche Gesamt.Abw.%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'Budget_vs_Ist Analyse'!$E$4</c:f>
              <c:strCache>
                <c:ptCount val="1"/>
                <c:pt idx="0">
                  <c:v>Abw.%</c:v>
                </c:pt>
              </c:strCache>
            </c:strRef>
          </c:tx>
          <c:spPr>
            <a:pattFill prst="pct10">
              <a:fgClr>
                <a:srgbClr val="FF0000"/>
              </a:fgClr>
              <a:bgClr>
                <a:schemeClr val="accent6">
                  <a:lumMod val="50000"/>
                </a:schemeClr>
              </a:bgClr>
            </a:pattFill>
            <a:ln>
              <a:noFill/>
            </a:ln>
            <a:effectLst/>
          </c:spPr>
          <c:invertIfNegative val="1"/>
          <c:cat>
            <c:numRef>
              <c:f>'Budget_vs_Ist Analyse'!$A$5:$A$16</c:f>
              <c:numCache>
                <c:formatCode>[$-407]mmmm\ yy;@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'Budget_vs_Ist Analyse'!$E$5:$E$16</c:f>
              <c:numCache>
                <c:formatCode>0.0%</c:formatCode>
                <c:ptCount val="12"/>
                <c:pt idx="0">
                  <c:v>-8.8811188811188813E-3</c:v>
                </c:pt>
                <c:pt idx="1">
                  <c:v>1.555072463768116E-2</c:v>
                </c:pt>
                <c:pt idx="2">
                  <c:v>-2.0525179856115107E-2</c:v>
                </c:pt>
                <c:pt idx="3">
                  <c:v>-4.1888111888111888E-2</c:v>
                </c:pt>
                <c:pt idx="4">
                  <c:v>2.2197023387668321E-2</c:v>
                </c:pt>
                <c:pt idx="5">
                  <c:v>-5.8863791923340174E-3</c:v>
                </c:pt>
                <c:pt idx="6">
                  <c:v>0.10246308724832215</c:v>
                </c:pt>
                <c:pt idx="7">
                  <c:v>6.6233766233766228E-2</c:v>
                </c:pt>
                <c:pt idx="8">
                  <c:v>7.848684210526316E-2</c:v>
                </c:pt>
                <c:pt idx="9">
                  <c:v>5.8026490066225164E-2</c:v>
                </c:pt>
                <c:pt idx="10">
                  <c:v>-1.0198675496688743E-3</c:v>
                </c:pt>
                <c:pt idx="11">
                  <c:v>2.3935483870967743E-2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9-2D46-9E8D-DC65E60FB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9241663"/>
        <c:axId val="239243663"/>
      </c:barChart>
      <c:dateAx>
        <c:axId val="239241663"/>
        <c:scaling>
          <c:orientation val="minMax"/>
        </c:scaling>
        <c:delete val="0"/>
        <c:axPos val="l"/>
        <c:numFmt formatCode="[$-407]mmmm\ 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9243663"/>
        <c:crosses val="autoZero"/>
        <c:auto val="1"/>
        <c:lblOffset val="100"/>
        <c:baseTimeUnit val="months"/>
      </c:dateAx>
      <c:valAx>
        <c:axId val="23924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924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50">
      <a:fgClr>
        <a:schemeClr val="bg2"/>
      </a:fgClr>
      <a:bgClr>
        <a:schemeClr val="bg1"/>
      </a:bgClr>
    </a:patt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Verteilung</a:t>
            </a:r>
            <a:r>
              <a:rPr lang="en-US" baseline="0"/>
              <a:t> nach Monaten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'Budget_vs_Ist Analyse'!$B$4</c:f>
              <c:strCache>
                <c:ptCount val="1"/>
                <c:pt idx="0">
                  <c:v>Budget Gesamt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89-C247-B54C-38A724314C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89-C247-B54C-38A724314C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89-C247-B54C-38A724314C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D89-C247-B54C-38A724314C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D89-C247-B54C-38A724314C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D89-C247-B54C-38A724314C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D89-C247-B54C-38A724314C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D89-C247-B54C-38A724314C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D89-C247-B54C-38A724314C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D89-C247-B54C-38A724314C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D89-C247-B54C-38A724314C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D89-C247-B54C-38A724314C0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in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89-C247-B54C-38A724314C0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in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89-C247-B54C-38A724314C0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in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89-C247-B54C-38A724314C0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in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89-C247-B54C-38A724314C0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in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D89-C247-B54C-38A724314C0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in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D89-C247-B54C-38A724314C0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in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D89-C247-B54C-38A724314C0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D89-C247-B54C-38A724314C0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in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D89-C247-B54C-38A724314C0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in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D89-C247-B54C-38A724314C0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in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D89-C247-B54C-38A724314C0D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inEnd"/>
              <c:showLegendKey val="1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D89-C247-B54C-38A724314C0D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f>'Budget_vs_Ist Analyse'!$A$5:$A$16</c:f>
              <c:numCache>
                <c:formatCode>[$-407]mmmm\ yy;@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'Budget_vs_Ist Analyse'!$B$5:$B$16</c:f>
              <c:numCache>
                <c:formatCode>_-* #,##0\ [$€-407]_-;\-* #,##0\ [$€-407]_-;_-* "-"??\ [$€-407]_-;_-@_-</c:formatCode>
                <c:ptCount val="12"/>
                <c:pt idx="0">
                  <c:v>143000</c:v>
                </c:pt>
                <c:pt idx="1">
                  <c:v>138000</c:v>
                </c:pt>
                <c:pt idx="2">
                  <c:v>139000</c:v>
                </c:pt>
                <c:pt idx="3">
                  <c:v>143000</c:v>
                </c:pt>
                <c:pt idx="4">
                  <c:v>141100</c:v>
                </c:pt>
                <c:pt idx="5">
                  <c:v>146100</c:v>
                </c:pt>
                <c:pt idx="6">
                  <c:v>149000</c:v>
                </c:pt>
                <c:pt idx="7">
                  <c:v>154000</c:v>
                </c:pt>
                <c:pt idx="8">
                  <c:v>152000</c:v>
                </c:pt>
                <c:pt idx="9">
                  <c:v>151000</c:v>
                </c:pt>
                <c:pt idx="10">
                  <c:v>151000</c:v>
                </c:pt>
                <c:pt idx="11">
                  <c:v>155000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D89-C247-B54C-38A724314C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Budget</a:t>
            </a:r>
            <a:r>
              <a:rPr lang="de-DE" baseline="0"/>
              <a:t> Verteilung nach Kostenarten</a:t>
            </a:r>
            <a:endParaRPr lang="de-DE"/>
          </a:p>
        </c:rich>
      </c:tx>
      <c:layout>
        <c:manualLayout>
          <c:xMode val="edge"/>
          <c:yMode val="edge"/>
          <c:x val="0.1914754098360655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5382943935286778"/>
          <c:y val="0.24820833333333331"/>
          <c:w val="0.43833333333333335"/>
          <c:h val="0.6684583333333333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E884A8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DB-2546-886A-5E18481255CA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DB-2546-886A-5E18481255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3DB-2546-886A-5E18481255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3DB-2546-886A-5E18481255C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3DB-2546-886A-5E18481255C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3DB-2546-886A-5E18481255CA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'Kostenarten Analyse'!$A$10:$A$15</c:f>
              <c:strCache>
                <c:ptCount val="6"/>
                <c:pt idx="0">
                  <c:v>Development Kosten</c:v>
                </c:pt>
                <c:pt idx="1">
                  <c:v>Operational Kosten</c:v>
                </c:pt>
                <c:pt idx="2">
                  <c:v>Marketing Kosten </c:v>
                </c:pt>
                <c:pt idx="3">
                  <c:v>Travelling Kosten </c:v>
                </c:pt>
                <c:pt idx="4">
                  <c:v>Training Kosten </c:v>
                </c:pt>
                <c:pt idx="5">
                  <c:v>Maintenance Kosten</c:v>
                </c:pt>
              </c:strCache>
            </c:strRef>
          </c:cat>
          <c:val>
            <c:numRef>
              <c:f>'Kostenarten Analyse'!$B$10:$B$15</c:f>
              <c:numCache>
                <c:formatCode>_-* #,##0\ [$€-407]_-;\-* #,##0\ [$€-407]_-;_-* "-"??\ [$€-407]_-;_-@_-</c:formatCode>
                <c:ptCount val="6"/>
                <c:pt idx="0">
                  <c:v>1340200</c:v>
                </c:pt>
                <c:pt idx="1">
                  <c:v>165000</c:v>
                </c:pt>
                <c:pt idx="2">
                  <c:v>75000</c:v>
                </c:pt>
                <c:pt idx="3">
                  <c:v>48000</c:v>
                </c:pt>
                <c:pt idx="4">
                  <c:v>86000</c:v>
                </c:pt>
                <c:pt idx="5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3DB-2546-886A-5E18481255C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Abweichung% nach Kostenart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'Kostenarten Analyse'!$E$9</c:f>
              <c:strCache>
                <c:ptCount val="1"/>
                <c:pt idx="0">
                  <c:v>Abw.%</c:v>
                </c:pt>
              </c:strCache>
            </c:strRef>
          </c:tx>
          <c:spPr>
            <a:solidFill>
              <a:srgbClr val="92D05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'Kostenarten Analyse'!$A$10:$A$16</c:f>
              <c:strCache>
                <c:ptCount val="7"/>
                <c:pt idx="0">
                  <c:v>Development Kosten</c:v>
                </c:pt>
                <c:pt idx="1">
                  <c:v>Operational Kosten</c:v>
                </c:pt>
                <c:pt idx="2">
                  <c:v>Marketing Kosten </c:v>
                </c:pt>
                <c:pt idx="3">
                  <c:v>Travelling Kosten </c:v>
                </c:pt>
                <c:pt idx="4">
                  <c:v>Training Kosten </c:v>
                </c:pt>
                <c:pt idx="5">
                  <c:v>Maintenance Kosten</c:v>
                </c:pt>
                <c:pt idx="6">
                  <c:v>Gesamt</c:v>
                </c:pt>
              </c:strCache>
            </c:strRef>
          </c:cat>
          <c:val>
            <c:numRef>
              <c:f>'Kostenarten Analyse'!$E$10:$E$16</c:f>
              <c:numCache>
                <c:formatCode>0.0%</c:formatCode>
                <c:ptCount val="7"/>
                <c:pt idx="0">
                  <c:v>1.907551111774362E-2</c:v>
                </c:pt>
                <c:pt idx="1">
                  <c:v>-5.504242424242424E-2</c:v>
                </c:pt>
                <c:pt idx="2">
                  <c:v>7.098666666666667E-2</c:v>
                </c:pt>
                <c:pt idx="3">
                  <c:v>0.13958333333333334</c:v>
                </c:pt>
                <c:pt idx="4">
                  <c:v>0.20930232558139536</c:v>
                </c:pt>
                <c:pt idx="5">
                  <c:v>-5.1812499999999997E-2</c:v>
                </c:pt>
                <c:pt idx="6">
                  <c:v>2.4980138463284531E-2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3-B742-A939-823E81B180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84308239"/>
        <c:axId val="1183995039"/>
      </c:barChart>
      <c:catAx>
        <c:axId val="118430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83995039"/>
        <c:crosses val="autoZero"/>
        <c:auto val="1"/>
        <c:lblAlgn val="ctr"/>
        <c:lblOffset val="100"/>
        <c:noMultiLvlLbl val="0"/>
      </c:catAx>
      <c:valAx>
        <c:axId val="118399503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18430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Monatliche</a:t>
            </a:r>
            <a:r>
              <a:rPr lang="de-DE" baseline="0"/>
              <a:t> Abweichung nach Kostenart</a:t>
            </a:r>
            <a:endParaRPr lang="de-DE"/>
          </a:p>
        </c:rich>
      </c:tx>
      <c:layout>
        <c:manualLayout>
          <c:xMode val="edge"/>
          <c:yMode val="edge"/>
          <c:x val="0.1594722222222222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'Budget_vs_Ist Analyse'!$F$27</c:f>
              <c:strCache>
                <c:ptCount val="1"/>
                <c:pt idx="0">
                  <c:v>Mark.Abw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'Budget_vs_Ist Analyse'!$A$28:$A$39</c:f>
              <c:numCache>
                <c:formatCode>[$-407]mmmm\ yy;@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'Budget_vs_Ist Analyse'!$F$28:$F$39</c:f>
              <c:numCache>
                <c:formatCode>_-* #,##0\ [$€-407]_-;\-* #,##0\ [$€-407]_-;_-* "-"??\ [$€-407]_-;_-@_-</c:formatCode>
                <c:ptCount val="12"/>
                <c:pt idx="0">
                  <c:v>180</c:v>
                </c:pt>
                <c:pt idx="1">
                  <c:v>1444</c:v>
                </c:pt>
                <c:pt idx="2">
                  <c:v>-1800</c:v>
                </c:pt>
                <c:pt idx="3">
                  <c:v>-1400</c:v>
                </c:pt>
                <c:pt idx="4">
                  <c:v>1100</c:v>
                </c:pt>
                <c:pt idx="5">
                  <c:v>500</c:v>
                </c:pt>
                <c:pt idx="6">
                  <c:v>5000</c:v>
                </c:pt>
                <c:pt idx="7">
                  <c:v>200</c:v>
                </c:pt>
                <c:pt idx="8">
                  <c:v>0</c:v>
                </c:pt>
                <c:pt idx="9">
                  <c:v>200</c:v>
                </c:pt>
                <c:pt idx="10">
                  <c:v>100</c:v>
                </c:pt>
                <c:pt idx="11">
                  <c:v>-200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C-D34D-A189-49C09D9CD4FE}"/>
            </c:ext>
          </c:extLst>
        </c:ser>
        <c:ser>
          <c:idx val="6"/>
          <c:order val="1"/>
          <c:tx>
            <c:strRef>
              <c:f>'Budget_vs_Ist Analyse'!$H$27</c:f>
              <c:strCache>
                <c:ptCount val="1"/>
                <c:pt idx="0">
                  <c:v>Trav.Abw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'Budget_vs_Ist Analyse'!$A$28:$A$39</c:f>
              <c:numCache>
                <c:formatCode>[$-407]mmmm\ yy;@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'Budget_vs_Ist Analyse'!$H$28:$H$39</c:f>
              <c:numCache>
                <c:formatCode>_-* #,##0\ [$€-407]_-;\-* #,##0\ [$€-407]_-;_-* "-"??\ [$€-407]_-;_-@_-</c:formatCode>
                <c:ptCount val="12"/>
                <c:pt idx="0">
                  <c:v>800</c:v>
                </c:pt>
                <c:pt idx="1">
                  <c:v>1700</c:v>
                </c:pt>
                <c:pt idx="2">
                  <c:v>-1300</c:v>
                </c:pt>
                <c:pt idx="3">
                  <c:v>1800</c:v>
                </c:pt>
                <c:pt idx="4">
                  <c:v>2800</c:v>
                </c:pt>
                <c:pt idx="5">
                  <c:v>-200</c:v>
                </c:pt>
                <c:pt idx="6">
                  <c:v>1100</c:v>
                </c:pt>
                <c:pt idx="7">
                  <c:v>-300</c:v>
                </c:pt>
                <c:pt idx="8">
                  <c:v>1300</c:v>
                </c:pt>
                <c:pt idx="9">
                  <c:v>300</c:v>
                </c:pt>
                <c:pt idx="10">
                  <c:v>-500</c:v>
                </c:pt>
                <c:pt idx="11">
                  <c:v>-800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7C-D34D-A189-49C09D9CD4FE}"/>
            </c:ext>
          </c:extLst>
        </c:ser>
        <c:ser>
          <c:idx val="8"/>
          <c:order val="2"/>
          <c:tx>
            <c:strRef>
              <c:f>'Budget_vs_Ist Analyse'!$J$27</c:f>
              <c:strCache>
                <c:ptCount val="1"/>
                <c:pt idx="0">
                  <c:v>Train.Abw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'Budget_vs_Ist Analyse'!$A$28:$A$39</c:f>
              <c:numCache>
                <c:formatCode>[$-407]mmmm\ yy;@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'Budget_vs_Ist Analyse'!$J$28:$J$39</c:f>
              <c:numCache>
                <c:formatCode>_-* #,##0\ [$€-407]_-;\-* #,##0\ [$€-407]_-;_-* "-"??\ [$€-407]_-;_-@_-</c:formatCode>
                <c:ptCount val="12"/>
                <c:pt idx="0">
                  <c:v>500</c:v>
                </c:pt>
                <c:pt idx="1">
                  <c:v>-500</c:v>
                </c:pt>
                <c:pt idx="2">
                  <c:v>6000</c:v>
                </c:pt>
                <c:pt idx="3">
                  <c:v>2000</c:v>
                </c:pt>
                <c:pt idx="4">
                  <c:v>0</c:v>
                </c:pt>
                <c:pt idx="5">
                  <c:v>1500</c:v>
                </c:pt>
                <c:pt idx="6">
                  <c:v>500</c:v>
                </c:pt>
                <c:pt idx="7">
                  <c:v>2000</c:v>
                </c:pt>
                <c:pt idx="8">
                  <c:v>1000</c:v>
                </c:pt>
                <c:pt idx="9">
                  <c:v>2500</c:v>
                </c:pt>
                <c:pt idx="10">
                  <c:v>2000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7C-D34D-A189-49C09D9CD4FE}"/>
            </c:ext>
          </c:extLst>
        </c:ser>
        <c:ser>
          <c:idx val="10"/>
          <c:order val="3"/>
          <c:tx>
            <c:strRef>
              <c:f>'Budget_vs_Ist Analyse'!$L$27</c:f>
              <c:strCache>
                <c:ptCount val="1"/>
                <c:pt idx="0">
                  <c:v>Main.Abw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'Budget_vs_Ist Analyse'!$A$28:$A$39</c:f>
              <c:numCache>
                <c:formatCode>[$-407]mmmm\ yy;@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'Budget_vs_Ist Analyse'!$L$28:$L$39</c:f>
              <c:numCache>
                <c:formatCode>_-* #,##0\ [$€-407]_-;\-* #,##0\ [$€-407]_-;_-* "-"??\ [$€-407]_-;_-@_-</c:formatCode>
                <c:ptCount val="12"/>
                <c:pt idx="0">
                  <c:v>800</c:v>
                </c:pt>
                <c:pt idx="1">
                  <c:v>1200</c:v>
                </c:pt>
                <c:pt idx="2">
                  <c:v>-3800</c:v>
                </c:pt>
                <c:pt idx="3">
                  <c:v>-1700</c:v>
                </c:pt>
                <c:pt idx="4">
                  <c:v>-600</c:v>
                </c:pt>
                <c:pt idx="5">
                  <c:v>-1500</c:v>
                </c:pt>
                <c:pt idx="6">
                  <c:v>0</c:v>
                </c:pt>
                <c:pt idx="7">
                  <c:v>900</c:v>
                </c:pt>
                <c:pt idx="8">
                  <c:v>1600</c:v>
                </c:pt>
                <c:pt idx="9">
                  <c:v>2602</c:v>
                </c:pt>
                <c:pt idx="10">
                  <c:v>-1399</c:v>
                </c:pt>
                <c:pt idx="11">
                  <c:v>-590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7C-D34D-A189-49C09D9CD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998175"/>
        <c:axId val="409758495"/>
      </c:barChart>
      <c:dateAx>
        <c:axId val="408998175"/>
        <c:scaling>
          <c:orientation val="minMax"/>
        </c:scaling>
        <c:delete val="0"/>
        <c:axPos val="b"/>
        <c:numFmt formatCode="[$-407]mmmm\ 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09758495"/>
        <c:crosses val="autoZero"/>
        <c:auto val="1"/>
        <c:lblOffset val="100"/>
        <c:baseTimeUnit val="months"/>
      </c:dateAx>
      <c:valAx>
        <c:axId val="40975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[$€-407]_-;\-* #,##0\ [$€-407]_-;_-* &quot;-&quot;??\ [$€-407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0899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584200</xdr:colOff>
      <xdr:row>7</xdr:row>
      <xdr:rowOff>12700</xdr:rowOff>
    </xdr:from>
    <xdr:to>
      <xdr:col>5</xdr:col>
      <xdr:colOff>241300</xdr:colOff>
      <xdr:row>21</xdr:row>
      <xdr:rowOff>101600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3089D6F-739C-EF41-8C0E-2E37B820B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673100</xdr:colOff>
      <xdr:row>6</xdr:row>
      <xdr:rowOff>177800</xdr:rowOff>
    </xdr:from>
    <xdr:to>
      <xdr:col>11</xdr:col>
      <xdr:colOff>292100</xdr:colOff>
      <xdr:row>21</xdr:row>
      <xdr:rowOff>12700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314F046-1014-4D48-A086-D84633A74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762000</xdr:colOff>
      <xdr:row>6</xdr:row>
      <xdr:rowOff>165100</xdr:rowOff>
    </xdr:from>
    <xdr:to>
      <xdr:col>17</xdr:col>
      <xdr:colOff>381000</xdr:colOff>
      <xdr:row>21</xdr:row>
      <xdr:rowOff>38100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D6A9C0C-73FA-7D4B-8955-20DAD5D62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736600</xdr:colOff>
      <xdr:row>22</xdr:row>
      <xdr:rowOff>38100</xdr:rowOff>
    </xdr:from>
    <xdr:to>
      <xdr:col>11</xdr:col>
      <xdr:colOff>431800</xdr:colOff>
      <xdr:row>36</xdr:row>
      <xdr:rowOff>63500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8C060892-71CB-E240-8341-D602A85F7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723900</xdr:colOff>
      <xdr:row>21</xdr:row>
      <xdr:rowOff>165100</xdr:rowOff>
    </xdr:from>
    <xdr:to>
      <xdr:col>17</xdr:col>
      <xdr:colOff>342900</xdr:colOff>
      <xdr:row>36</xdr:row>
      <xdr:rowOff>76200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61D20A6F-920E-B440-926D-625EA9C4E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520700</xdr:colOff>
      <xdr:row>22</xdr:row>
      <xdr:rowOff>76200</xdr:rowOff>
    </xdr:from>
    <xdr:to>
      <xdr:col>5</xdr:col>
      <xdr:colOff>368300</xdr:colOff>
      <xdr:row>36</xdr:row>
      <xdr:rowOff>63500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C53541B5-B2AD-9B43-934E-A5790B099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C15643-C12D-0441-8416-DF0B7A61E37F}" name="Tabelle1" displayName="Tabelle1" ref="A7:H19" totalsRowShown="0" headerRowDxfId="59">
  <tableColumns count="8">
    <tableColumn id="1" xr3:uid="{1FE627D2-B0A3-C447-9891-6CC39C3DC9E5}" name="Monat" dataDxfId="58"/>
    <tableColumn id="2" xr3:uid="{7D1E89E1-F31F-2247-8BC5-DAD726E60D12}" name="Development Kosten" dataDxfId="57"/>
    <tableColumn id="3" xr3:uid="{32DD91E7-249E-AF40-987E-63AD4711967D}" name="Operatinal Kosten" dataDxfId="56"/>
    <tableColumn id="4" xr3:uid="{1723C43E-91F5-A84E-86A7-5FC3AFCC5E9C}" name="Marketing Kosten" dataDxfId="55"/>
    <tableColumn id="5" xr3:uid="{2D72F3EB-BFFC-344A-B137-A7781916C2F8}" name="Travelling Kosten" dataDxfId="54"/>
    <tableColumn id="6" xr3:uid="{A794C31B-F31C-F043-A8DA-F3F6BCE41B10}" name="Training Kosten "/>
    <tableColumn id="7" xr3:uid="{F6180AF4-118A-C34D-BEA6-8A9B5A6143B4}" name="Maintenance Kosten " dataDxfId="47"/>
    <tableColumn id="8" xr3:uid="{5D6DE857-3BC4-B141-9F37-1823D268AF3D}" name="Total" dataDxfId="46">
      <calculatedColumnFormula>SUM(Tabelle1[[#This Row],[Development Kosten]:[Maintenance Kosten ]])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0EAB95-3D23-C744-B8D6-2C20C90ED3CC}" name="Tabelle2" displayName="Tabelle2" ref="A25:H37" totalsRowShown="0">
  <tableColumns count="8">
    <tableColumn id="1" xr3:uid="{1C588C61-D7BF-954C-B717-592976F08443}" name="Monat" dataDxfId="53"/>
    <tableColumn id="2" xr3:uid="{EB9D28DB-C975-9446-974F-1D733DD06A9D}" name="Development kosten" dataDxfId="52"/>
    <tableColumn id="3" xr3:uid="{3D5155A8-FED9-C04A-B237-EABCFA5BF626}" name="Operatinal Kosten" dataDxfId="51"/>
    <tableColumn id="4" xr3:uid="{57FE193D-32DA-1246-AAC4-F46BC8E0BF34}" name="Marketing Kosten" dataDxfId="50"/>
    <tableColumn id="5" xr3:uid="{8121419D-B0BB-D741-BEF7-FDE9508B7B6F}" name="Travelling Kosten" dataDxfId="49"/>
    <tableColumn id="6" xr3:uid="{DEB29220-3AB5-0F48-AACE-4FA7B0E3D4D9}" name="Training Kosten " dataDxfId="48"/>
    <tableColumn id="7" xr3:uid="{42697933-D134-1E40-AA18-7BC94AD18424}" name="Maintenance Kosten " dataDxfId="45"/>
    <tableColumn id="8" xr3:uid="{FD989011-31C6-9A4C-ADE7-D85D5FE9B6B7}" name="Total" dataDxfId="44">
      <calculatedColumnFormula>SUM(Tabelle2[[#This Row],[Development kosten]:[Maintenance Kosten ]])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8CA896-A955-2447-8DBA-557E21BEDD4A}" name="Tabelle6" displayName="Tabelle6" ref="A4:F17" totalsRowShown="0">
  <tableColumns count="6">
    <tableColumn id="1" xr3:uid="{970EE48B-AA63-9643-8F9D-E8022D79E088}" name="Monat" dataDxfId="43"/>
    <tableColumn id="2" xr3:uid="{BC61BCA0-ABB7-8D4B-A222-15A27110357E}" name="Budget Gesamt" dataDxfId="42">
      <calculatedColumnFormula>VLOOKUP(A5,Tabelle1[],8,FALSE)</calculatedColumnFormula>
    </tableColumn>
    <tableColumn id="3" xr3:uid="{B4C7EF1D-6F0D-CC4E-BC2C-58125D2B13DA}" name="IST Gesamt" dataDxfId="41">
      <calculatedColumnFormula>VLOOKUP(A5,Tabelle2[],8,FALSE)</calculatedColumnFormula>
    </tableColumn>
    <tableColumn id="4" xr3:uid="{C6BD3EC5-CD78-B945-B25B-8023F99E7A76}" name="Abw." dataDxfId="40">
      <calculatedColumnFormula>Tabelle6[[#This Row],[Budget Gesamt]]-Tabelle6[[#This Row],[IST Gesamt]]</calculatedColumnFormula>
    </tableColumn>
    <tableColumn id="5" xr3:uid="{4DE91F83-B299-FD4E-8459-A651EFE643DD}" name="Abw.%" dataDxfId="39" dataCellStyle="Prozent">
      <calculatedColumnFormula>Tabelle6[[#This Row],[Abw.]]/Tabelle6[[#This Row],[Budget Gesamt]]</calculatedColumnFormula>
    </tableColumn>
    <tableColumn id="12" xr3:uid="{9ED35CF3-F556-DE4B-A651-F3F5C7DFC23D}" name="Ampel" dataDxfId="38" dataCellStyle="Prozent">
      <calculatedColumnFormula>ABS(Tabelle6[[#This Row],[Abw.%]])</calculatedColumnFormula>
    </tableColumn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0D0196-3482-5441-A76E-8F52122C916D}" name="Tabelle9" displayName="Tabelle9" ref="A27:M40" totalsRowShown="0" headerRowDxfId="23" dataDxfId="24" headerRowBorderDxfId="31" tableBorderDxfId="32" totalsRowBorderDxfId="30">
  <tableColumns count="13">
    <tableColumn id="1" xr3:uid="{5F5ADFCE-800C-E145-B0E6-41213ED17153}" name="Monat"/>
    <tableColumn id="2" xr3:uid="{A915C304-F393-994A-8D40-E7B4242E5DC7}" name="Dev.Abw" dataDxfId="22">
      <calculatedColumnFormula>Rohdaten!B8-Rohdaten!B26</calculatedColumnFormula>
    </tableColumn>
    <tableColumn id="8" xr3:uid="{E7A574B4-7950-494F-931C-ABE0AE13D2F6}" name="Dev.Abw.%" dataDxfId="21">
      <calculatedColumnFormula>Tabelle9[[#This Row],[Dev.Abw]] / Rohdaten!B8</calculatedColumnFormula>
    </tableColumn>
    <tableColumn id="3" xr3:uid="{E6C60565-250F-2545-B609-FC7F7C734C2B}" name="Oper.Abw" dataDxfId="29"/>
    <tableColumn id="9" xr3:uid="{33FEE469-E450-E241-9F62-C2F8EA7D8544}" name="Oper.Abw%" dataDxfId="4">
      <calculatedColumnFormula>Tabelle9[[#This Row],[Oper.Abw]]/Rohdaten!C8</calculatedColumnFormula>
    </tableColumn>
    <tableColumn id="4" xr3:uid="{B31DB13C-7DDC-7142-AD09-380D0D5C8E43}" name="Mark.Abw" dataDxfId="28"/>
    <tableColumn id="10" xr3:uid="{E44E0A08-A406-564E-BCB7-9AEE01D1E687}" name="Mark.Abw%" dataDxfId="3">
      <calculatedColumnFormula>Tabelle9[[#This Row],[Mark.Abw]]/ Rohdaten!D8</calculatedColumnFormula>
    </tableColumn>
    <tableColumn id="5" xr3:uid="{A82BD4AC-A770-1747-8A2B-D4ED00CB9D60}" name="Trav.Abw" dataDxfId="27"/>
    <tableColumn id="11" xr3:uid="{2BFA2580-A262-404C-AE29-69ACF17B1B68}" name="Trav.Abw%" dataDxfId="2">
      <calculatedColumnFormula>Tabelle9[[#This Row],[Trav.Abw]]/Rohdaten!E8</calculatedColumnFormula>
    </tableColumn>
    <tableColumn id="6" xr3:uid="{34FDAF4B-81C9-B24F-A556-189958BACADA}" name="Train.Abw" dataDxfId="26"/>
    <tableColumn id="12" xr3:uid="{6A269BB5-8D16-254A-9A11-167079394B2A}" name="Train.Abw%" dataDxfId="1">
      <calculatedColumnFormula>Tabelle9[[#This Row],[Train.Abw]]/Rohdaten!F8</calculatedColumnFormula>
    </tableColumn>
    <tableColumn id="7" xr3:uid="{476243D7-1449-8B4B-9C9E-4CB28B343F26}" name="Main.Abw" dataDxfId="25"/>
    <tableColumn id="13" xr3:uid="{B17962C0-9946-434A-873D-68FC9954CFAD}" name="Main.Abw%" dataDxfId="0">
      <calculatedColumnFormula>Tabelle9[[#This Row],[Main.Abw]]/Rohdaten!G8</calculatedColumnFormula>
    </tableColumn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46A17F-603F-A149-A567-B571D8C1F9D7}" name="Tabelle7" displayName="Tabelle7" ref="A9:G16" totalsRowShown="0">
  <autoFilter ref="A9:G16" xr:uid="{5546A17F-603F-A149-A567-B571D8C1F9D7}"/>
  <tableColumns count="7">
    <tableColumn id="1" xr3:uid="{10EA0680-1B66-1647-B4A2-7E4ADD8DD50B}" name="Kostenart"/>
    <tableColumn id="2" xr3:uid="{1C2D980F-99B6-7644-BD41-56CC69359A32}" name="Budget Gesamt " dataDxfId="37"/>
    <tableColumn id="3" xr3:uid="{ADD8E27F-C2A5-FE46-A40C-5890F6F7145D}" name="Ist Gesamt "/>
    <tableColumn id="4" xr3:uid="{8E3EBC7E-4B9D-4046-8FFC-172F8A542FBF}" name="Abw." dataDxfId="36">
      <calculatedColumnFormula>Tabelle7[[#This Row],[Budget Gesamt ]]-Tabelle7[[#This Row],[Ist Gesamt ]]</calculatedColumnFormula>
    </tableColumn>
    <tableColumn id="5" xr3:uid="{63B4B586-4392-7F45-A933-0A0B18F1028B}" name="Abw.%" dataDxfId="35">
      <calculatedColumnFormula>Tabelle7[[#This Row],[Abw.]]/Tabelle7[[#This Row],[Budget Gesamt ]]</calculatedColumnFormula>
    </tableColumn>
    <tableColumn id="6" xr3:uid="{A05DDAEF-2719-3D4D-A8EA-4BE87CF0AF78}" name="Anteil Budget" dataDxfId="34" dataCellStyle="Prozent">
      <calculatedColumnFormula>Tabelle7[[#This Row],[Budget Gesamt ]]/$B$16</calculatedColumnFormula>
    </tableColumn>
    <tableColumn id="7" xr3:uid="{936B68B7-BF8F-5040-A958-D505A904EBEC}" name="Ampel" dataDxfId="33">
      <calculatedColumnFormula>ABS(Tabelle7[[#This Row],[Abw.%]])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45">
      <a:majorFont>
        <a:latin typeface="Corbel"/>
        <a:ea typeface=""/>
        <a:cs typeface=""/>
      </a:majorFont>
      <a:minorFont>
        <a:latin typeface="Palatino Linotyp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L37"/>
  <sheetViews>
    <sheetView topLeftCell="A2" workbookViewId="0">
      <selection activeCell="M7" sqref="M7"/>
    </sheetView>
  </sheetViews>
  <sheetFormatPr baseColWidth="10" defaultColWidth="8.83203125" defaultRowHeight="17" x14ac:dyDescent="0.25"/>
  <cols>
    <col min="1" max="1" width="9.6640625" customWidth="1"/>
    <col min="2" max="2" width="20.6640625" customWidth="1"/>
    <col min="3" max="3" width="18.5" customWidth="1"/>
    <col min="4" max="4" width="18" customWidth="1"/>
    <col min="5" max="5" width="17.83203125" customWidth="1"/>
    <col min="6" max="6" width="17" customWidth="1"/>
    <col min="7" max="7" width="20.5" customWidth="1"/>
    <col min="8" max="8" width="14.1640625" customWidth="1"/>
    <col min="13" max="13" width="18.1640625" bestFit="1" customWidth="1"/>
    <col min="14" max="14" width="16.33203125" bestFit="1" customWidth="1"/>
    <col min="15" max="15" width="15.6640625" bestFit="1" customWidth="1"/>
    <col min="16" max="16" width="15.5" bestFit="1" customWidth="1"/>
    <col min="17" max="17" width="14.6640625" bestFit="1" customWidth="1"/>
    <col min="18" max="18" width="18.33203125" bestFit="1" customWidth="1"/>
  </cols>
  <sheetData>
    <row r="6" spans="1:12" ht="21" x14ac:dyDescent="0.3">
      <c r="A6" s="7" t="s">
        <v>0</v>
      </c>
      <c r="B6" s="6"/>
      <c r="C6" s="6"/>
      <c r="D6" s="6"/>
      <c r="E6" s="6"/>
      <c r="F6" s="6"/>
      <c r="G6" s="6"/>
      <c r="H6" s="6"/>
    </row>
    <row r="7" spans="1:12" ht="20" customHeight="1" x14ac:dyDescent="0.25">
      <c r="A7" t="s">
        <v>1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10</v>
      </c>
    </row>
    <row r="8" spans="1:12" x14ac:dyDescent="0.25">
      <c r="A8" s="1">
        <v>44927</v>
      </c>
      <c r="B8" s="5">
        <v>107000</v>
      </c>
      <c r="C8" s="5">
        <v>12000</v>
      </c>
      <c r="D8" s="5">
        <v>10000</v>
      </c>
      <c r="E8" s="5">
        <v>4000</v>
      </c>
      <c r="F8" s="5">
        <v>6000</v>
      </c>
      <c r="G8" s="5">
        <v>4000</v>
      </c>
      <c r="H8" s="5">
        <f>SUM(Tabelle1[[#This Row],[Development Kosten]:[Maintenance Kosten ]])</f>
        <v>143000</v>
      </c>
      <c r="L8" s="1"/>
    </row>
    <row r="9" spans="1:12" x14ac:dyDescent="0.25">
      <c r="A9" s="1">
        <v>44958</v>
      </c>
      <c r="B9" s="5">
        <v>107000</v>
      </c>
      <c r="C9" s="5">
        <v>12000</v>
      </c>
      <c r="D9" s="5">
        <v>5000</v>
      </c>
      <c r="E9" s="5">
        <v>4000</v>
      </c>
      <c r="F9" s="5">
        <v>6000</v>
      </c>
      <c r="G9" s="5">
        <v>4000</v>
      </c>
      <c r="H9" s="5">
        <f>SUM(Tabelle1[[#This Row],[Development Kosten]:[Maintenance Kosten ]])</f>
        <v>138000</v>
      </c>
      <c r="L9" s="1"/>
    </row>
    <row r="10" spans="1:12" x14ac:dyDescent="0.25">
      <c r="A10" s="1">
        <v>44986</v>
      </c>
      <c r="B10" s="5">
        <v>108000</v>
      </c>
      <c r="C10" s="5">
        <v>12000</v>
      </c>
      <c r="D10" s="5">
        <v>5000</v>
      </c>
      <c r="E10" s="5">
        <v>4000</v>
      </c>
      <c r="F10" s="5">
        <v>6000</v>
      </c>
      <c r="G10" s="5">
        <v>4000</v>
      </c>
      <c r="H10" s="5">
        <f>SUM(Tabelle1[[#This Row],[Development Kosten]:[Maintenance Kosten ]])</f>
        <v>139000</v>
      </c>
      <c r="L10" s="1"/>
    </row>
    <row r="11" spans="1:12" x14ac:dyDescent="0.25">
      <c r="A11" s="1">
        <v>45017</v>
      </c>
      <c r="B11" s="5">
        <v>107000</v>
      </c>
      <c r="C11" s="5">
        <v>12000</v>
      </c>
      <c r="D11" s="5">
        <v>10000</v>
      </c>
      <c r="E11" s="5">
        <v>4000</v>
      </c>
      <c r="F11" s="5">
        <v>6000</v>
      </c>
      <c r="G11" s="5">
        <v>4000</v>
      </c>
      <c r="H11" s="5">
        <f>SUM(Tabelle1[[#This Row],[Development Kosten]:[Maintenance Kosten ]])</f>
        <v>143000</v>
      </c>
      <c r="L11" s="1"/>
    </row>
    <row r="12" spans="1:12" x14ac:dyDescent="0.25">
      <c r="A12" s="1">
        <v>45047</v>
      </c>
      <c r="B12" s="5">
        <v>111100</v>
      </c>
      <c r="C12" s="5">
        <v>12000</v>
      </c>
      <c r="D12" s="5">
        <v>4000</v>
      </c>
      <c r="E12" s="5">
        <v>4000</v>
      </c>
      <c r="F12" s="5">
        <v>6000</v>
      </c>
      <c r="G12" s="5">
        <v>4000</v>
      </c>
      <c r="H12" s="5">
        <f>SUM(Tabelle1[[#This Row],[Development Kosten]:[Maintenance Kosten ]])</f>
        <v>141100</v>
      </c>
      <c r="L12" s="1"/>
    </row>
    <row r="13" spans="1:12" x14ac:dyDescent="0.25">
      <c r="A13" s="1">
        <v>45078</v>
      </c>
      <c r="B13" s="5">
        <v>111100</v>
      </c>
      <c r="C13" s="5">
        <v>15000</v>
      </c>
      <c r="D13" s="5">
        <v>4000</v>
      </c>
      <c r="E13" s="5">
        <v>4000</v>
      </c>
      <c r="F13" s="5">
        <v>8000</v>
      </c>
      <c r="G13" s="5">
        <v>4000</v>
      </c>
      <c r="H13" s="5">
        <f>SUM(Tabelle1[[#This Row],[Development Kosten]:[Maintenance Kosten ]])</f>
        <v>146100</v>
      </c>
      <c r="L13" s="1"/>
    </row>
    <row r="14" spans="1:12" x14ac:dyDescent="0.25">
      <c r="A14" s="1">
        <v>45108</v>
      </c>
      <c r="B14" s="5">
        <v>110000</v>
      </c>
      <c r="C14" s="5">
        <v>15000</v>
      </c>
      <c r="D14" s="5">
        <v>8000</v>
      </c>
      <c r="E14" s="5">
        <v>4000</v>
      </c>
      <c r="F14" s="5">
        <v>8000</v>
      </c>
      <c r="G14" s="5">
        <v>4000</v>
      </c>
      <c r="H14" s="5">
        <f>SUM(Tabelle1[[#This Row],[Development Kosten]:[Maintenance Kosten ]])</f>
        <v>149000</v>
      </c>
      <c r="L14" s="1"/>
    </row>
    <row r="15" spans="1:12" x14ac:dyDescent="0.25">
      <c r="A15" s="1">
        <v>45139</v>
      </c>
      <c r="B15" s="5">
        <v>117000</v>
      </c>
      <c r="C15" s="5">
        <v>15000</v>
      </c>
      <c r="D15" s="5">
        <v>6000</v>
      </c>
      <c r="E15" s="5">
        <v>4000</v>
      </c>
      <c r="F15" s="5">
        <v>8000</v>
      </c>
      <c r="G15" s="5">
        <v>4000</v>
      </c>
      <c r="H15" s="5">
        <f>SUM(Tabelle1[[#This Row],[Development Kosten]:[Maintenance Kosten ]])</f>
        <v>154000</v>
      </c>
      <c r="L15" s="1"/>
    </row>
    <row r="16" spans="1:12" x14ac:dyDescent="0.25">
      <c r="A16" s="1">
        <v>45170</v>
      </c>
      <c r="B16" s="5">
        <v>118000</v>
      </c>
      <c r="C16" s="5">
        <v>15000</v>
      </c>
      <c r="D16" s="5">
        <v>3000</v>
      </c>
      <c r="E16" s="5">
        <v>4000</v>
      </c>
      <c r="F16" s="5">
        <v>8000</v>
      </c>
      <c r="G16" s="5">
        <v>4000</v>
      </c>
      <c r="H16" s="5">
        <f>SUM(Tabelle1[[#This Row],[Development Kosten]:[Maintenance Kosten ]])</f>
        <v>152000</v>
      </c>
      <c r="L16" s="1"/>
    </row>
    <row r="17" spans="1:12" x14ac:dyDescent="0.25">
      <c r="A17" s="1">
        <v>45200</v>
      </c>
      <c r="B17" s="5">
        <v>110000</v>
      </c>
      <c r="C17" s="5">
        <v>15000</v>
      </c>
      <c r="D17" s="5">
        <v>10000</v>
      </c>
      <c r="E17" s="5">
        <v>4000</v>
      </c>
      <c r="F17" s="5">
        <v>8000</v>
      </c>
      <c r="G17" s="5">
        <v>4000</v>
      </c>
      <c r="H17" s="5">
        <f>SUM(Tabelle1[[#This Row],[Development Kosten]:[Maintenance Kosten ]])</f>
        <v>151000</v>
      </c>
      <c r="L17" s="1"/>
    </row>
    <row r="18" spans="1:12" x14ac:dyDescent="0.25">
      <c r="A18" s="1">
        <v>45231</v>
      </c>
      <c r="B18" s="5">
        <v>117000</v>
      </c>
      <c r="C18" s="5">
        <v>15000</v>
      </c>
      <c r="D18" s="5">
        <v>3000</v>
      </c>
      <c r="E18" s="5">
        <v>4000</v>
      </c>
      <c r="F18" s="5">
        <v>8000</v>
      </c>
      <c r="G18" s="5">
        <v>4000</v>
      </c>
      <c r="H18" s="5">
        <f>SUM(Tabelle1[[#This Row],[Development Kosten]:[Maintenance Kosten ]])</f>
        <v>151000</v>
      </c>
      <c r="L18" s="1"/>
    </row>
    <row r="19" spans="1:12" x14ac:dyDescent="0.25">
      <c r="A19" s="1">
        <v>45261</v>
      </c>
      <c r="B19" s="5">
        <v>117000</v>
      </c>
      <c r="C19" s="5">
        <v>15000</v>
      </c>
      <c r="D19" s="5">
        <v>7000</v>
      </c>
      <c r="E19" s="5">
        <v>4000</v>
      </c>
      <c r="F19" s="5">
        <v>8000</v>
      </c>
      <c r="G19" s="5">
        <v>4000</v>
      </c>
      <c r="H19" s="5">
        <f>SUM(Tabelle1[[#This Row],[Development Kosten]:[Maintenance Kosten ]])</f>
        <v>155000</v>
      </c>
      <c r="L19" s="1"/>
    </row>
    <row r="20" spans="1:12" x14ac:dyDescent="0.25">
      <c r="A20" s="1"/>
    </row>
    <row r="21" spans="1:12" x14ac:dyDescent="0.25">
      <c r="A21" s="1"/>
    </row>
    <row r="22" spans="1:12" x14ac:dyDescent="0.25">
      <c r="A22" s="1"/>
    </row>
    <row r="23" spans="1:12" x14ac:dyDescent="0.25">
      <c r="A23" s="1"/>
    </row>
    <row r="24" spans="1:12" ht="19" x14ac:dyDescent="0.3">
      <c r="A24" s="9" t="s">
        <v>9</v>
      </c>
      <c r="B24" s="8"/>
      <c r="C24" s="8"/>
      <c r="D24" s="8"/>
      <c r="E24" s="8"/>
      <c r="F24" s="8"/>
      <c r="G24" s="8"/>
      <c r="H24" s="8"/>
    </row>
    <row r="25" spans="1:12" x14ac:dyDescent="0.25">
      <c r="A25" t="s">
        <v>1</v>
      </c>
      <c r="B25" t="s">
        <v>2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10</v>
      </c>
    </row>
    <row r="26" spans="1:12" x14ac:dyDescent="0.25">
      <c r="A26" s="1">
        <v>44927</v>
      </c>
      <c r="B26" s="4">
        <v>106950</v>
      </c>
      <c r="C26" s="5">
        <v>15600</v>
      </c>
      <c r="D26" s="4">
        <v>9820</v>
      </c>
      <c r="E26" s="5">
        <v>3200</v>
      </c>
      <c r="F26" s="5">
        <v>5500</v>
      </c>
      <c r="G26" s="5">
        <v>3200</v>
      </c>
      <c r="H26" s="5">
        <f>SUM(Tabelle2[[#This Row],[Development kosten]:[Maintenance Kosten ]])</f>
        <v>144270</v>
      </c>
    </row>
    <row r="27" spans="1:12" x14ac:dyDescent="0.25">
      <c r="A27" s="1">
        <v>44958</v>
      </c>
      <c r="B27" s="4">
        <v>109000</v>
      </c>
      <c r="C27" s="5">
        <v>11698</v>
      </c>
      <c r="D27" s="4">
        <v>3556</v>
      </c>
      <c r="E27" s="5">
        <v>2300</v>
      </c>
      <c r="F27" s="5">
        <v>6500</v>
      </c>
      <c r="G27" s="5">
        <v>2800</v>
      </c>
      <c r="H27" s="5">
        <f>SUM(Tabelle2[[#This Row],[Development kosten]:[Maintenance Kosten ]])</f>
        <v>135854</v>
      </c>
    </row>
    <row r="28" spans="1:12" x14ac:dyDescent="0.25">
      <c r="A28" s="1">
        <v>44986</v>
      </c>
      <c r="B28" s="4">
        <v>108500</v>
      </c>
      <c r="C28" s="5">
        <v>13453</v>
      </c>
      <c r="D28" s="4">
        <v>6800</v>
      </c>
      <c r="E28" s="5">
        <v>5300</v>
      </c>
      <c r="F28" s="5">
        <v>0</v>
      </c>
      <c r="G28" s="5">
        <v>7800</v>
      </c>
      <c r="H28" s="5">
        <f>SUM(Tabelle2[[#This Row],[Development kosten]:[Maintenance Kosten ]])</f>
        <v>141853</v>
      </c>
    </row>
    <row r="29" spans="1:12" x14ac:dyDescent="0.25">
      <c r="A29" s="1">
        <v>45017</v>
      </c>
      <c r="B29" s="4">
        <v>109900</v>
      </c>
      <c r="C29" s="5">
        <v>15790</v>
      </c>
      <c r="D29" s="4">
        <v>11400</v>
      </c>
      <c r="E29" s="5">
        <v>2200</v>
      </c>
      <c r="F29" s="5">
        <v>4000</v>
      </c>
      <c r="G29" s="5">
        <v>5700</v>
      </c>
      <c r="H29" s="5">
        <f>SUM(Tabelle2[[#This Row],[Development kosten]:[Maintenance Kosten ]])</f>
        <v>148990</v>
      </c>
    </row>
    <row r="30" spans="1:12" x14ac:dyDescent="0.25">
      <c r="A30" s="1">
        <v>45047</v>
      </c>
      <c r="B30" s="4">
        <v>111760</v>
      </c>
      <c r="C30" s="5">
        <v>11508</v>
      </c>
      <c r="D30" s="4">
        <v>2900</v>
      </c>
      <c r="E30" s="5">
        <v>1200</v>
      </c>
      <c r="F30" s="5">
        <v>6000</v>
      </c>
      <c r="G30" s="5">
        <v>4600</v>
      </c>
      <c r="H30" s="5">
        <f>SUM(Tabelle2[[#This Row],[Development kosten]:[Maintenance Kosten ]])</f>
        <v>137968</v>
      </c>
    </row>
    <row r="31" spans="1:12" x14ac:dyDescent="0.25">
      <c r="A31" s="1">
        <v>45078</v>
      </c>
      <c r="B31" s="4">
        <v>111760</v>
      </c>
      <c r="C31" s="5">
        <v>15500</v>
      </c>
      <c r="D31" s="4">
        <v>3500</v>
      </c>
      <c r="E31" s="5">
        <v>4200</v>
      </c>
      <c r="F31" s="5">
        <v>6500</v>
      </c>
      <c r="G31" s="5">
        <v>5500</v>
      </c>
      <c r="H31" s="5">
        <f>SUM(Tabelle2[[#This Row],[Development kosten]:[Maintenance Kosten ]])</f>
        <v>146960</v>
      </c>
    </row>
    <row r="32" spans="1:12" x14ac:dyDescent="0.25">
      <c r="A32" s="1">
        <v>45108</v>
      </c>
      <c r="B32" s="4">
        <v>102000</v>
      </c>
      <c r="C32" s="5">
        <v>14333</v>
      </c>
      <c r="D32" s="4">
        <v>3000</v>
      </c>
      <c r="E32" s="5">
        <v>2900</v>
      </c>
      <c r="F32" s="5">
        <v>7500</v>
      </c>
      <c r="G32" s="5">
        <v>4000</v>
      </c>
      <c r="H32" s="5">
        <f>SUM(Tabelle2[[#This Row],[Development kosten]:[Maintenance Kosten ]])</f>
        <v>133733</v>
      </c>
    </row>
    <row r="33" spans="1:8" x14ac:dyDescent="0.25">
      <c r="A33" s="1">
        <v>45139</v>
      </c>
      <c r="B33" s="4">
        <v>108100</v>
      </c>
      <c r="C33" s="5">
        <v>16500</v>
      </c>
      <c r="D33" s="4">
        <v>5800</v>
      </c>
      <c r="E33" s="5">
        <v>4300</v>
      </c>
      <c r="F33" s="5">
        <v>6000</v>
      </c>
      <c r="G33" s="5">
        <v>3100</v>
      </c>
      <c r="H33" s="5">
        <f>SUM(Tabelle2[[#This Row],[Development kosten]:[Maintenance Kosten ]])</f>
        <v>143800</v>
      </c>
    </row>
    <row r="34" spans="1:8" x14ac:dyDescent="0.25">
      <c r="A34" s="1">
        <v>45170</v>
      </c>
      <c r="B34" s="4">
        <v>114070</v>
      </c>
      <c r="C34" s="5">
        <v>10900</v>
      </c>
      <c r="D34" s="4">
        <v>3000</v>
      </c>
      <c r="E34" s="5">
        <v>2700</v>
      </c>
      <c r="F34" s="5">
        <v>7000</v>
      </c>
      <c r="G34" s="5">
        <v>2400</v>
      </c>
      <c r="H34" s="5">
        <f>SUM(Tabelle2[[#This Row],[Development kosten]:[Maintenance Kosten ]])</f>
        <v>140070</v>
      </c>
    </row>
    <row r="35" spans="1:8" x14ac:dyDescent="0.25">
      <c r="A35" s="1">
        <v>45200</v>
      </c>
      <c r="B35" s="4">
        <v>104040</v>
      </c>
      <c r="C35" s="5">
        <v>17800</v>
      </c>
      <c r="D35" s="4">
        <v>9800</v>
      </c>
      <c r="E35" s="5">
        <v>3700</v>
      </c>
      <c r="F35" s="5">
        <v>5500</v>
      </c>
      <c r="G35" s="5">
        <v>1398</v>
      </c>
      <c r="H35" s="5">
        <f>SUM(Tabelle2[[#This Row],[Development kosten]:[Maintenance Kosten ]])</f>
        <v>142238</v>
      </c>
    </row>
    <row r="36" spans="1:8" x14ac:dyDescent="0.25">
      <c r="A36" s="1">
        <v>45231</v>
      </c>
      <c r="B36" s="4">
        <v>115555</v>
      </c>
      <c r="C36" s="5">
        <v>16800</v>
      </c>
      <c r="D36" s="4">
        <v>2900</v>
      </c>
      <c r="E36" s="5">
        <v>4500</v>
      </c>
      <c r="F36" s="5">
        <v>6000</v>
      </c>
      <c r="G36" s="5">
        <v>5399</v>
      </c>
      <c r="H36" s="5">
        <f>SUM(Tabelle2[[#This Row],[Development kosten]:[Maintenance Kosten ]])</f>
        <v>151154</v>
      </c>
    </row>
    <row r="37" spans="1:8" x14ac:dyDescent="0.25">
      <c r="A37" s="1">
        <v>45261</v>
      </c>
      <c r="B37" s="4">
        <v>113000</v>
      </c>
      <c r="C37" s="5">
        <v>14200</v>
      </c>
      <c r="D37" s="4">
        <v>7200</v>
      </c>
      <c r="E37" s="5">
        <v>4800</v>
      </c>
      <c r="F37" s="5">
        <v>7500</v>
      </c>
      <c r="G37" s="5">
        <v>4590</v>
      </c>
      <c r="H37" s="5">
        <f>SUM(Tabelle2[[#This Row],[Development kosten]:[Maintenance Kosten ]])</f>
        <v>151290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380A-19F8-AD40-A665-5A23B2F66F15}">
  <dimension ref="A2:M40"/>
  <sheetViews>
    <sheetView topLeftCell="A2" workbookViewId="0">
      <selection activeCell="R25" sqref="R25"/>
    </sheetView>
  </sheetViews>
  <sheetFormatPr baseColWidth="10" defaultRowHeight="17" x14ac:dyDescent="0.25"/>
  <cols>
    <col min="1" max="1" width="12.33203125" bestFit="1" customWidth="1"/>
    <col min="2" max="2" width="16.33203125" customWidth="1"/>
    <col min="3" max="3" width="13.33203125" customWidth="1"/>
    <col min="4" max="4" width="12.83203125" customWidth="1"/>
    <col min="5" max="5" width="12" customWidth="1"/>
    <col min="6" max="7" width="12.83203125" customWidth="1"/>
    <col min="11" max="11" width="12.1640625" bestFit="1" customWidth="1"/>
  </cols>
  <sheetData>
    <row r="2" spans="1:6" x14ac:dyDescent="0.25">
      <c r="A2" s="50"/>
    </row>
    <row r="3" spans="1:6" ht="21" x14ac:dyDescent="0.3">
      <c r="A3" s="6"/>
      <c r="B3" s="16" t="s">
        <v>45</v>
      </c>
      <c r="C3" s="6"/>
      <c r="D3" s="6"/>
      <c r="E3" s="6"/>
      <c r="F3" s="6"/>
    </row>
    <row r="4" spans="1:6" ht="18" thickBot="1" x14ac:dyDescent="0.3">
      <c r="A4" s="3" t="s">
        <v>1</v>
      </c>
      <c r="B4" t="s">
        <v>11</v>
      </c>
      <c r="C4" t="s">
        <v>12</v>
      </c>
      <c r="D4" t="s">
        <v>14</v>
      </c>
      <c r="E4" t="s">
        <v>15</v>
      </c>
      <c r="F4" t="s">
        <v>22</v>
      </c>
    </row>
    <row r="5" spans="1:6" ht="18" thickTop="1" x14ac:dyDescent="0.25">
      <c r="A5" s="19">
        <v>44927</v>
      </c>
      <c r="B5" s="5">
        <f>VLOOKUP(A5,Tabelle1[],8,FALSE)</f>
        <v>143000</v>
      </c>
      <c r="C5" s="5">
        <f>VLOOKUP(A5,Tabelle2[],8,FALSE)</f>
        <v>144270</v>
      </c>
      <c r="D5" s="5">
        <f>Tabelle6[[#This Row],[Budget Gesamt]]-Tabelle6[[#This Row],[IST Gesamt]]</f>
        <v>-1270</v>
      </c>
      <c r="E5" s="15">
        <f>Tabelle6[[#This Row],[Abw.]]/Tabelle6[[#This Row],[Budget Gesamt]]</f>
        <v>-8.8811188811188813E-3</v>
      </c>
      <c r="F5" s="15">
        <f>ABS(Tabelle6[[#This Row],[Abw.%]])</f>
        <v>8.8811188811188813E-3</v>
      </c>
    </row>
    <row r="6" spans="1:6" x14ac:dyDescent="0.25">
      <c r="A6" s="20">
        <v>44958</v>
      </c>
      <c r="B6" s="5">
        <f>VLOOKUP(A6,Tabelle1[],8,FALSE)</f>
        <v>138000</v>
      </c>
      <c r="C6" s="5">
        <f>VLOOKUP(A6,Tabelle2[],8,FALSE)</f>
        <v>135854</v>
      </c>
      <c r="D6" s="5">
        <f>Tabelle6[[#This Row],[Budget Gesamt]]-Tabelle6[[#This Row],[IST Gesamt]]</f>
        <v>2146</v>
      </c>
      <c r="E6" s="15">
        <f>Tabelle6[[#This Row],[Abw.]]/Tabelle6[[#This Row],[Budget Gesamt]]</f>
        <v>1.555072463768116E-2</v>
      </c>
      <c r="F6" s="15">
        <f>ABS(Tabelle6[[#This Row],[Abw.%]])</f>
        <v>1.555072463768116E-2</v>
      </c>
    </row>
    <row r="7" spans="1:6" x14ac:dyDescent="0.25">
      <c r="A7" s="19">
        <v>44986</v>
      </c>
      <c r="B7" s="5">
        <f>VLOOKUP(A7,Tabelle1[],8,FALSE)</f>
        <v>139000</v>
      </c>
      <c r="C7" s="5">
        <f>VLOOKUP(A7,Tabelle2[],8,FALSE)</f>
        <v>141853</v>
      </c>
      <c r="D7" s="5">
        <f>Tabelle6[[#This Row],[Budget Gesamt]]-Tabelle6[[#This Row],[IST Gesamt]]</f>
        <v>-2853</v>
      </c>
      <c r="E7" s="15">
        <f>Tabelle6[[#This Row],[Abw.]]/Tabelle6[[#This Row],[Budget Gesamt]]</f>
        <v>-2.0525179856115107E-2</v>
      </c>
      <c r="F7" s="15">
        <f>ABS(Tabelle6[[#This Row],[Abw.%]])</f>
        <v>2.0525179856115107E-2</v>
      </c>
    </row>
    <row r="8" spans="1:6" x14ac:dyDescent="0.25">
      <c r="A8" s="20">
        <v>45017</v>
      </c>
      <c r="B8" s="5">
        <f>VLOOKUP(A8,Tabelle1[],8,FALSE)</f>
        <v>143000</v>
      </c>
      <c r="C8" s="5">
        <f>VLOOKUP(A8,Tabelle2[],8,FALSE)</f>
        <v>148990</v>
      </c>
      <c r="D8" s="5">
        <f>Tabelle6[[#This Row],[Budget Gesamt]]-Tabelle6[[#This Row],[IST Gesamt]]</f>
        <v>-5990</v>
      </c>
      <c r="E8" s="15">
        <f>Tabelle6[[#This Row],[Abw.]]/Tabelle6[[#This Row],[Budget Gesamt]]</f>
        <v>-4.1888111888111888E-2</v>
      </c>
      <c r="F8" s="15">
        <f>ABS(Tabelle6[[#This Row],[Abw.%]])</f>
        <v>4.1888111888111888E-2</v>
      </c>
    </row>
    <row r="9" spans="1:6" x14ac:dyDescent="0.25">
      <c r="A9" s="19">
        <v>45047</v>
      </c>
      <c r="B9" s="5">
        <f>VLOOKUP(A9,Tabelle1[],8,FALSE)</f>
        <v>141100</v>
      </c>
      <c r="C9" s="5">
        <f>VLOOKUP(A9,Tabelle2[],8,FALSE)</f>
        <v>137968</v>
      </c>
      <c r="D9" s="5">
        <f>Tabelle6[[#This Row],[Budget Gesamt]]-Tabelle6[[#This Row],[IST Gesamt]]</f>
        <v>3132</v>
      </c>
      <c r="E9" s="15">
        <f>Tabelle6[[#This Row],[Abw.]]/Tabelle6[[#This Row],[Budget Gesamt]]</f>
        <v>2.2197023387668321E-2</v>
      </c>
      <c r="F9" s="15">
        <f>ABS(Tabelle6[[#This Row],[Abw.%]])</f>
        <v>2.2197023387668321E-2</v>
      </c>
    </row>
    <row r="10" spans="1:6" x14ac:dyDescent="0.25">
      <c r="A10" s="20">
        <v>45078</v>
      </c>
      <c r="B10" s="5">
        <f>VLOOKUP(A10,Tabelle1[],8,FALSE)</f>
        <v>146100</v>
      </c>
      <c r="C10" s="5">
        <f>VLOOKUP(A10,Tabelle2[],8,FALSE)</f>
        <v>146960</v>
      </c>
      <c r="D10" s="5">
        <f>Tabelle6[[#This Row],[Budget Gesamt]]-Tabelle6[[#This Row],[IST Gesamt]]</f>
        <v>-860</v>
      </c>
      <c r="E10" s="15">
        <f>Tabelle6[[#This Row],[Abw.]]/Tabelle6[[#This Row],[Budget Gesamt]]</f>
        <v>-5.8863791923340174E-3</v>
      </c>
      <c r="F10" s="15">
        <f>ABS(Tabelle6[[#This Row],[Abw.%]])</f>
        <v>5.8863791923340174E-3</v>
      </c>
    </row>
    <row r="11" spans="1:6" x14ac:dyDescent="0.25">
      <c r="A11" s="19">
        <v>45108</v>
      </c>
      <c r="B11" s="5">
        <f>VLOOKUP(A11,Tabelle1[],8,FALSE)</f>
        <v>149000</v>
      </c>
      <c r="C11" s="5">
        <f>VLOOKUP(A11,Tabelle2[],8,FALSE)</f>
        <v>133733</v>
      </c>
      <c r="D11" s="5">
        <f>Tabelle6[[#This Row],[Budget Gesamt]]-Tabelle6[[#This Row],[IST Gesamt]]</f>
        <v>15267</v>
      </c>
      <c r="E11" s="15">
        <f>Tabelle6[[#This Row],[Abw.]]/Tabelle6[[#This Row],[Budget Gesamt]]</f>
        <v>0.10246308724832215</v>
      </c>
      <c r="F11" s="15">
        <f>ABS(Tabelle6[[#This Row],[Abw.%]])</f>
        <v>0.10246308724832215</v>
      </c>
    </row>
    <row r="12" spans="1:6" x14ac:dyDescent="0.25">
      <c r="A12" s="20">
        <v>45139</v>
      </c>
      <c r="B12" s="5">
        <f>VLOOKUP(A12,Tabelle1[],8,FALSE)</f>
        <v>154000</v>
      </c>
      <c r="C12" s="5">
        <f>VLOOKUP(A12,Tabelle2[],8,FALSE)</f>
        <v>143800</v>
      </c>
      <c r="D12" s="5">
        <f>Tabelle6[[#This Row],[Budget Gesamt]]-Tabelle6[[#This Row],[IST Gesamt]]</f>
        <v>10200</v>
      </c>
      <c r="E12" s="15">
        <f>Tabelle6[[#This Row],[Abw.]]/Tabelle6[[#This Row],[Budget Gesamt]]</f>
        <v>6.6233766233766228E-2</v>
      </c>
      <c r="F12" s="15">
        <f>ABS(Tabelle6[[#This Row],[Abw.%]])</f>
        <v>6.6233766233766228E-2</v>
      </c>
    </row>
    <row r="13" spans="1:6" x14ac:dyDescent="0.25">
      <c r="A13" s="19">
        <v>45170</v>
      </c>
      <c r="B13" s="5">
        <f>VLOOKUP(A13,Tabelle1[],8,FALSE)</f>
        <v>152000</v>
      </c>
      <c r="C13" s="5">
        <f>VLOOKUP(A13,Tabelle2[],8,FALSE)</f>
        <v>140070</v>
      </c>
      <c r="D13" s="5">
        <f>Tabelle6[[#This Row],[Budget Gesamt]]-Tabelle6[[#This Row],[IST Gesamt]]</f>
        <v>11930</v>
      </c>
      <c r="E13" s="15">
        <f>Tabelle6[[#This Row],[Abw.]]/Tabelle6[[#This Row],[Budget Gesamt]]</f>
        <v>7.848684210526316E-2</v>
      </c>
      <c r="F13" s="15">
        <f>ABS(Tabelle6[[#This Row],[Abw.%]])</f>
        <v>7.848684210526316E-2</v>
      </c>
    </row>
    <row r="14" spans="1:6" x14ac:dyDescent="0.25">
      <c r="A14" s="20">
        <v>45200</v>
      </c>
      <c r="B14" s="5">
        <f>VLOOKUP(A14,Tabelle1[],8,FALSE)</f>
        <v>151000</v>
      </c>
      <c r="C14" s="5">
        <f>VLOOKUP(A14,Tabelle2[],8,FALSE)</f>
        <v>142238</v>
      </c>
      <c r="D14" s="5">
        <f>Tabelle6[[#This Row],[Budget Gesamt]]-Tabelle6[[#This Row],[IST Gesamt]]</f>
        <v>8762</v>
      </c>
      <c r="E14" s="15">
        <f>Tabelle6[[#This Row],[Abw.]]/Tabelle6[[#This Row],[Budget Gesamt]]</f>
        <v>5.8026490066225164E-2</v>
      </c>
      <c r="F14" s="15">
        <f>ABS(Tabelle6[[#This Row],[Abw.%]])</f>
        <v>5.8026490066225164E-2</v>
      </c>
    </row>
    <row r="15" spans="1:6" x14ac:dyDescent="0.25">
      <c r="A15" s="19">
        <v>45231</v>
      </c>
      <c r="B15" s="5">
        <f>VLOOKUP(A15,Tabelle1[],8,FALSE)</f>
        <v>151000</v>
      </c>
      <c r="C15" s="5">
        <f>VLOOKUP(A15,Tabelle2[],8,FALSE)</f>
        <v>151154</v>
      </c>
      <c r="D15" s="5">
        <f>Tabelle6[[#This Row],[Budget Gesamt]]-Tabelle6[[#This Row],[IST Gesamt]]</f>
        <v>-154</v>
      </c>
      <c r="E15" s="15">
        <f>Tabelle6[[#This Row],[Abw.]]/Tabelle6[[#This Row],[Budget Gesamt]]</f>
        <v>-1.0198675496688743E-3</v>
      </c>
      <c r="F15" s="15">
        <f>ABS(Tabelle6[[#This Row],[Abw.%]])</f>
        <v>1.0198675496688743E-3</v>
      </c>
    </row>
    <row r="16" spans="1:6" x14ac:dyDescent="0.25">
      <c r="A16" s="21">
        <v>45261</v>
      </c>
      <c r="B16" s="5">
        <f>VLOOKUP(A16,Tabelle1[],8,FALSE)</f>
        <v>155000</v>
      </c>
      <c r="C16" s="5">
        <f>VLOOKUP(A16,Tabelle2[],8,FALSE)</f>
        <v>151290</v>
      </c>
      <c r="D16" s="5">
        <f>Tabelle6[[#This Row],[Budget Gesamt]]-Tabelle6[[#This Row],[IST Gesamt]]</f>
        <v>3710</v>
      </c>
      <c r="E16" s="15">
        <f>Tabelle6[[#This Row],[Abw.]]/Tabelle6[[#This Row],[Budget Gesamt]]</f>
        <v>2.3935483870967743E-2</v>
      </c>
      <c r="F16" s="15">
        <f>ABS(Tabelle6[[#This Row],[Abw.%]])</f>
        <v>2.3935483870967743E-2</v>
      </c>
    </row>
    <row r="17" spans="1:13" x14ac:dyDescent="0.25">
      <c r="A17" s="10" t="s">
        <v>13</v>
      </c>
      <c r="B17" s="14">
        <f>SUM(B5:B16)</f>
        <v>1762200</v>
      </c>
      <c r="C17" s="14">
        <f>SUM(C5:C16)</f>
        <v>1718180</v>
      </c>
      <c r="D17" s="5">
        <f>Tabelle6[[#This Row],[Budget Gesamt]]-Tabelle6[[#This Row],[IST Gesamt]]</f>
        <v>44020</v>
      </c>
      <c r="E17" s="15">
        <f>Tabelle6[[#This Row],[Abw.]]/Tabelle6[[#This Row],[Budget Gesamt]]</f>
        <v>2.4980138463284531E-2</v>
      </c>
      <c r="F17" s="15">
        <f>ABS(Tabelle6[[#This Row],[Abw.%]])</f>
        <v>2.4980138463284531E-2</v>
      </c>
    </row>
    <row r="26" spans="1:13" ht="21" x14ac:dyDescent="0.3">
      <c r="A26" s="6"/>
      <c r="B26" s="16" t="s">
        <v>46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18" thickBot="1" x14ac:dyDescent="0.3">
      <c r="A27" s="3" t="s">
        <v>1</v>
      </c>
      <c r="B27" s="12" t="s">
        <v>16</v>
      </c>
      <c r="C27" s="12" t="s">
        <v>39</v>
      </c>
      <c r="D27" s="12" t="s">
        <v>17</v>
      </c>
      <c r="E27" s="12" t="s">
        <v>40</v>
      </c>
      <c r="F27" s="12" t="s">
        <v>18</v>
      </c>
      <c r="G27" s="12" t="s">
        <v>41</v>
      </c>
      <c r="H27" s="12" t="s">
        <v>19</v>
      </c>
      <c r="I27" s="12" t="s">
        <v>42</v>
      </c>
      <c r="J27" s="12" t="s">
        <v>20</v>
      </c>
      <c r="K27" s="13" t="s">
        <v>43</v>
      </c>
      <c r="L27" s="13" t="s">
        <v>21</v>
      </c>
      <c r="M27" s="12" t="s">
        <v>44</v>
      </c>
    </row>
    <row r="28" spans="1:13" ht="18" thickTop="1" x14ac:dyDescent="0.25">
      <c r="A28" s="19">
        <v>44927</v>
      </c>
      <c r="B28" s="37">
        <f>Rohdaten!B8-Rohdaten!B26</f>
        <v>50</v>
      </c>
      <c r="C28" s="44">
        <f>Tabelle9[[#This Row],[Dev.Abw]] / Rohdaten!B8</f>
        <v>4.6728971962616824E-4</v>
      </c>
      <c r="D28" s="37">
        <f>Rohdaten!C8-Rohdaten!C26</f>
        <v>-3600</v>
      </c>
      <c r="E28" s="43">
        <f>Tabelle9[[#This Row],[Oper.Abw]]/Rohdaten!C8</f>
        <v>-0.3</v>
      </c>
      <c r="F28" s="37">
        <f>Rohdaten!D8-Rohdaten!D26</f>
        <v>180</v>
      </c>
      <c r="G28" s="43">
        <f>Tabelle9[[#This Row],[Mark.Abw]]/ Rohdaten!D8</f>
        <v>1.7999999999999999E-2</v>
      </c>
      <c r="H28" s="37">
        <f>Rohdaten!E8-Rohdaten!E26</f>
        <v>800</v>
      </c>
      <c r="I28" s="43">
        <f>Tabelle9[[#This Row],[Trav.Abw]]/Rohdaten!E8</f>
        <v>0.2</v>
      </c>
      <c r="J28" s="37">
        <f>Rohdaten!F8-Rohdaten!F26</f>
        <v>500</v>
      </c>
      <c r="K28" s="49">
        <f>Tabelle9[[#This Row],[Train.Abw]]/Rohdaten!F8</f>
        <v>8.3333333333333329E-2</v>
      </c>
      <c r="L28" s="11">
        <f>Rohdaten!G8-Rohdaten!G26</f>
        <v>800</v>
      </c>
      <c r="M28" s="45">
        <f>Tabelle9[[#This Row],[Main.Abw]]/Rohdaten!G8</f>
        <v>0.2</v>
      </c>
    </row>
    <row r="29" spans="1:13" x14ac:dyDescent="0.25">
      <c r="A29" s="20">
        <v>44958</v>
      </c>
      <c r="B29" s="37">
        <f>Rohdaten!B9-Rohdaten!B27</f>
        <v>-2000</v>
      </c>
      <c r="C29" s="44">
        <f>Tabelle9[[#This Row],[Dev.Abw]] / Rohdaten!B9</f>
        <v>-1.8691588785046728E-2</v>
      </c>
      <c r="D29" s="37">
        <f>Rohdaten!C9-Rohdaten!C27</f>
        <v>302</v>
      </c>
      <c r="E29" s="43">
        <f>Tabelle9[[#This Row],[Oper.Abw]]/Rohdaten!C9</f>
        <v>2.5166666666666667E-2</v>
      </c>
      <c r="F29" s="37">
        <f>Rohdaten!D9-Rohdaten!D27</f>
        <v>1444</v>
      </c>
      <c r="G29" s="43">
        <f>Tabelle9[[#This Row],[Mark.Abw]]/ Rohdaten!D9</f>
        <v>0.2888</v>
      </c>
      <c r="H29" s="37">
        <f>Rohdaten!E9-Rohdaten!E27</f>
        <v>1700</v>
      </c>
      <c r="I29" s="43">
        <f>Tabelle9[[#This Row],[Trav.Abw]]/Rohdaten!E9</f>
        <v>0.42499999999999999</v>
      </c>
      <c r="J29" s="37">
        <f>Rohdaten!F9-Rohdaten!F27</f>
        <v>-500</v>
      </c>
      <c r="K29" s="49">
        <f>Tabelle9[[#This Row],[Train.Abw]]/Rohdaten!F9</f>
        <v>-8.3333333333333329E-2</v>
      </c>
      <c r="L29" s="11">
        <f>Rohdaten!G9-Rohdaten!G27</f>
        <v>1200</v>
      </c>
      <c r="M29" s="45">
        <f>Tabelle9[[#This Row],[Main.Abw]]/Rohdaten!G9</f>
        <v>0.3</v>
      </c>
    </row>
    <row r="30" spans="1:13" x14ac:dyDescent="0.25">
      <c r="A30" s="19">
        <v>44986</v>
      </c>
      <c r="B30" s="37">
        <f>Rohdaten!B10-Rohdaten!B28</f>
        <v>-500</v>
      </c>
      <c r="C30" s="44">
        <f>Tabelle9[[#This Row],[Dev.Abw]] / Rohdaten!B10</f>
        <v>-4.6296296296296294E-3</v>
      </c>
      <c r="D30" s="37">
        <f>Rohdaten!C10-Rohdaten!C28</f>
        <v>-1453</v>
      </c>
      <c r="E30" s="43">
        <f>Tabelle9[[#This Row],[Oper.Abw]]/Rohdaten!C10</f>
        <v>-0.12108333333333333</v>
      </c>
      <c r="F30" s="37">
        <f>Rohdaten!D10-Rohdaten!D28</f>
        <v>-1800</v>
      </c>
      <c r="G30" s="43">
        <f>Tabelle9[[#This Row],[Mark.Abw]]/ Rohdaten!D10</f>
        <v>-0.36</v>
      </c>
      <c r="H30" s="37">
        <f>Rohdaten!E10-Rohdaten!E28</f>
        <v>-1300</v>
      </c>
      <c r="I30" s="43">
        <f>Tabelle9[[#This Row],[Trav.Abw]]/Rohdaten!E10</f>
        <v>-0.32500000000000001</v>
      </c>
      <c r="J30" s="37">
        <f>Rohdaten!F10-Rohdaten!F28</f>
        <v>6000</v>
      </c>
      <c r="K30" s="49">
        <f>Tabelle9[[#This Row],[Train.Abw]]/Rohdaten!F10</f>
        <v>1</v>
      </c>
      <c r="L30" s="11">
        <f>Rohdaten!G10-Rohdaten!G28</f>
        <v>-3800</v>
      </c>
      <c r="M30" s="45">
        <f>Tabelle9[[#This Row],[Main.Abw]]/Rohdaten!G10</f>
        <v>-0.95</v>
      </c>
    </row>
    <row r="31" spans="1:13" x14ac:dyDescent="0.25">
      <c r="A31" s="20">
        <v>45017</v>
      </c>
      <c r="B31" s="37">
        <f>Rohdaten!B11-Rohdaten!B29</f>
        <v>-2900</v>
      </c>
      <c r="C31" s="44">
        <f>Tabelle9[[#This Row],[Dev.Abw]] / Rohdaten!B11</f>
        <v>-2.7102803738317756E-2</v>
      </c>
      <c r="D31" s="37">
        <f>Rohdaten!C11-Rohdaten!C29</f>
        <v>-3790</v>
      </c>
      <c r="E31" s="43">
        <f>Tabelle9[[#This Row],[Oper.Abw]]/Rohdaten!C11</f>
        <v>-0.31583333333333335</v>
      </c>
      <c r="F31" s="37">
        <f>Rohdaten!D11-Rohdaten!D29</f>
        <v>-1400</v>
      </c>
      <c r="G31" s="43">
        <f>Tabelle9[[#This Row],[Mark.Abw]]/ Rohdaten!D11</f>
        <v>-0.14000000000000001</v>
      </c>
      <c r="H31" s="37">
        <f>Rohdaten!E11-Rohdaten!E29</f>
        <v>1800</v>
      </c>
      <c r="I31" s="43">
        <f>Tabelle9[[#This Row],[Trav.Abw]]/Rohdaten!E11</f>
        <v>0.45</v>
      </c>
      <c r="J31" s="37">
        <f>Rohdaten!F11-Rohdaten!F29</f>
        <v>2000</v>
      </c>
      <c r="K31" s="49">
        <f>Tabelle9[[#This Row],[Train.Abw]]/Rohdaten!F11</f>
        <v>0.33333333333333331</v>
      </c>
      <c r="L31" s="11">
        <f>Rohdaten!G11-Rohdaten!G29</f>
        <v>-1700</v>
      </c>
      <c r="M31" s="45">
        <f>Tabelle9[[#This Row],[Main.Abw]]/Rohdaten!G11</f>
        <v>-0.42499999999999999</v>
      </c>
    </row>
    <row r="32" spans="1:13" x14ac:dyDescent="0.25">
      <c r="A32" s="19">
        <v>45047</v>
      </c>
      <c r="B32" s="37">
        <f>Rohdaten!B12-Rohdaten!B30</f>
        <v>-660</v>
      </c>
      <c r="C32" s="44">
        <f>Tabelle9[[#This Row],[Dev.Abw]] / Rohdaten!B12</f>
        <v>-5.9405940594059407E-3</v>
      </c>
      <c r="D32" s="37">
        <f>Rohdaten!C12-Rohdaten!C30</f>
        <v>492</v>
      </c>
      <c r="E32" s="43">
        <f>Tabelle9[[#This Row],[Oper.Abw]]/Rohdaten!C12</f>
        <v>4.1000000000000002E-2</v>
      </c>
      <c r="F32" s="37">
        <f>Rohdaten!D12-Rohdaten!D30</f>
        <v>1100</v>
      </c>
      <c r="G32" s="43">
        <f>Tabelle9[[#This Row],[Mark.Abw]]/ Rohdaten!D12</f>
        <v>0.27500000000000002</v>
      </c>
      <c r="H32" s="37">
        <f>Rohdaten!E12-Rohdaten!E30</f>
        <v>2800</v>
      </c>
      <c r="I32" s="43">
        <f>Tabelle9[[#This Row],[Trav.Abw]]/Rohdaten!E12</f>
        <v>0.7</v>
      </c>
      <c r="J32" s="37">
        <f>Rohdaten!F12-Rohdaten!F30</f>
        <v>0</v>
      </c>
      <c r="K32" s="49">
        <f>Tabelle9[[#This Row],[Train.Abw]]/Rohdaten!F12</f>
        <v>0</v>
      </c>
      <c r="L32" s="11">
        <f>Rohdaten!G12-Rohdaten!G30</f>
        <v>-600</v>
      </c>
      <c r="M32" s="45">
        <f>Tabelle9[[#This Row],[Main.Abw]]/Rohdaten!G12</f>
        <v>-0.15</v>
      </c>
    </row>
    <row r="33" spans="1:13" x14ac:dyDescent="0.25">
      <c r="A33" s="20">
        <v>45078</v>
      </c>
      <c r="B33" s="37">
        <f>Rohdaten!B13-Rohdaten!B31</f>
        <v>-660</v>
      </c>
      <c r="C33" s="44">
        <f>Tabelle9[[#This Row],[Dev.Abw]] / Rohdaten!B13</f>
        <v>-5.9405940594059407E-3</v>
      </c>
      <c r="D33" s="37">
        <f>Rohdaten!C13-Rohdaten!C31</f>
        <v>-500</v>
      </c>
      <c r="E33" s="43">
        <f>Tabelle9[[#This Row],[Oper.Abw]]/Rohdaten!C13</f>
        <v>-3.3333333333333333E-2</v>
      </c>
      <c r="F33" s="37">
        <f>Rohdaten!D13-Rohdaten!D31</f>
        <v>500</v>
      </c>
      <c r="G33" s="43">
        <f>Tabelle9[[#This Row],[Mark.Abw]]/ Rohdaten!D13</f>
        <v>0.125</v>
      </c>
      <c r="H33" s="37">
        <f>Rohdaten!E13-Rohdaten!E31</f>
        <v>-200</v>
      </c>
      <c r="I33" s="43">
        <f>Tabelle9[[#This Row],[Trav.Abw]]/Rohdaten!E13</f>
        <v>-0.05</v>
      </c>
      <c r="J33" s="37">
        <f>Rohdaten!F13-Rohdaten!F31</f>
        <v>1500</v>
      </c>
      <c r="K33" s="49">
        <f>Tabelle9[[#This Row],[Train.Abw]]/Rohdaten!F13</f>
        <v>0.1875</v>
      </c>
      <c r="L33" s="11">
        <f>Rohdaten!G13-Rohdaten!G31</f>
        <v>-1500</v>
      </c>
      <c r="M33" s="45">
        <f>Tabelle9[[#This Row],[Main.Abw]]/Rohdaten!G13</f>
        <v>-0.375</v>
      </c>
    </row>
    <row r="34" spans="1:13" x14ac:dyDescent="0.25">
      <c r="A34" s="19">
        <v>45108</v>
      </c>
      <c r="B34" s="37">
        <f>Rohdaten!B14-Rohdaten!B32</f>
        <v>8000</v>
      </c>
      <c r="C34" s="44">
        <f>Tabelle9[[#This Row],[Dev.Abw]] / Rohdaten!B14</f>
        <v>7.2727272727272724E-2</v>
      </c>
      <c r="D34" s="37">
        <f>Rohdaten!C14-Rohdaten!C32</f>
        <v>667</v>
      </c>
      <c r="E34" s="43">
        <f>Tabelle9[[#This Row],[Oper.Abw]]/Rohdaten!C14</f>
        <v>4.4466666666666668E-2</v>
      </c>
      <c r="F34" s="37">
        <f>Rohdaten!D14-Rohdaten!D32</f>
        <v>5000</v>
      </c>
      <c r="G34" s="43">
        <f>Tabelle9[[#This Row],[Mark.Abw]]/ Rohdaten!D14</f>
        <v>0.625</v>
      </c>
      <c r="H34" s="37">
        <f>Rohdaten!E14-Rohdaten!E32</f>
        <v>1100</v>
      </c>
      <c r="I34" s="43">
        <f>Tabelle9[[#This Row],[Trav.Abw]]/Rohdaten!E14</f>
        <v>0.27500000000000002</v>
      </c>
      <c r="J34" s="37">
        <f>Rohdaten!F14-Rohdaten!F32</f>
        <v>500</v>
      </c>
      <c r="K34" s="49">
        <f>Tabelle9[[#This Row],[Train.Abw]]/Rohdaten!F14</f>
        <v>6.25E-2</v>
      </c>
      <c r="L34" s="11">
        <f>Rohdaten!G14-Rohdaten!G32</f>
        <v>0</v>
      </c>
      <c r="M34" s="45">
        <f>Tabelle9[[#This Row],[Main.Abw]]/Rohdaten!G14</f>
        <v>0</v>
      </c>
    </row>
    <row r="35" spans="1:13" x14ac:dyDescent="0.25">
      <c r="A35" s="20">
        <v>45139</v>
      </c>
      <c r="B35" s="37">
        <f>Rohdaten!B15-Rohdaten!B33</f>
        <v>8900</v>
      </c>
      <c r="C35" s="44">
        <f>Tabelle9[[#This Row],[Dev.Abw]] / Rohdaten!B15</f>
        <v>7.6068376068376062E-2</v>
      </c>
      <c r="D35" s="37">
        <f>Rohdaten!C15-Rohdaten!C33</f>
        <v>-1500</v>
      </c>
      <c r="E35" s="43">
        <f>Tabelle9[[#This Row],[Oper.Abw]]/Rohdaten!C15</f>
        <v>-0.1</v>
      </c>
      <c r="F35" s="37">
        <f>Rohdaten!D15-Rohdaten!D33</f>
        <v>200</v>
      </c>
      <c r="G35" s="43">
        <f>Tabelle9[[#This Row],[Mark.Abw]]/ Rohdaten!D15</f>
        <v>3.3333333333333333E-2</v>
      </c>
      <c r="H35" s="37">
        <f>Rohdaten!E15-Rohdaten!E33</f>
        <v>-300</v>
      </c>
      <c r="I35" s="43">
        <f>Tabelle9[[#This Row],[Trav.Abw]]/Rohdaten!E15</f>
        <v>-7.4999999999999997E-2</v>
      </c>
      <c r="J35" s="37">
        <f>Rohdaten!F15-Rohdaten!F33</f>
        <v>2000</v>
      </c>
      <c r="K35" s="49">
        <f>Tabelle9[[#This Row],[Train.Abw]]/Rohdaten!F15</f>
        <v>0.25</v>
      </c>
      <c r="L35" s="11">
        <f>Rohdaten!G15-Rohdaten!G33</f>
        <v>900</v>
      </c>
      <c r="M35" s="45">
        <f>Tabelle9[[#This Row],[Main.Abw]]/Rohdaten!G15</f>
        <v>0.22500000000000001</v>
      </c>
    </row>
    <row r="36" spans="1:13" x14ac:dyDescent="0.25">
      <c r="A36" s="19">
        <v>45170</v>
      </c>
      <c r="B36" s="37">
        <f>Rohdaten!B16-Rohdaten!B34</f>
        <v>3930</v>
      </c>
      <c r="C36" s="44">
        <f>Tabelle9[[#This Row],[Dev.Abw]] / Rohdaten!B16</f>
        <v>3.3305084745762714E-2</v>
      </c>
      <c r="D36" s="37">
        <f>Rohdaten!C16-Rohdaten!C34</f>
        <v>4100</v>
      </c>
      <c r="E36" s="43">
        <f>Tabelle9[[#This Row],[Oper.Abw]]/Rohdaten!C16</f>
        <v>0.27333333333333332</v>
      </c>
      <c r="F36" s="37">
        <f>Rohdaten!D16-Rohdaten!D34</f>
        <v>0</v>
      </c>
      <c r="G36" s="43">
        <f>Tabelle9[[#This Row],[Mark.Abw]]/ Rohdaten!D16</f>
        <v>0</v>
      </c>
      <c r="H36" s="37">
        <f>Rohdaten!E16-Rohdaten!E34</f>
        <v>1300</v>
      </c>
      <c r="I36" s="43">
        <f>Tabelle9[[#This Row],[Trav.Abw]]/Rohdaten!E16</f>
        <v>0.32500000000000001</v>
      </c>
      <c r="J36" s="37">
        <f>Rohdaten!F16-Rohdaten!F34</f>
        <v>1000</v>
      </c>
      <c r="K36" s="49">
        <f>Tabelle9[[#This Row],[Train.Abw]]/Rohdaten!F16</f>
        <v>0.125</v>
      </c>
      <c r="L36" s="11">
        <f>Rohdaten!G16-Rohdaten!G34</f>
        <v>1600</v>
      </c>
      <c r="M36" s="45">
        <f>Tabelle9[[#This Row],[Main.Abw]]/Rohdaten!G16</f>
        <v>0.4</v>
      </c>
    </row>
    <row r="37" spans="1:13" x14ac:dyDescent="0.25">
      <c r="A37" s="20">
        <v>45200</v>
      </c>
      <c r="B37" s="37">
        <f>Rohdaten!B17-Rohdaten!B35</f>
        <v>5960</v>
      </c>
      <c r="C37" s="44">
        <f>Tabelle9[[#This Row],[Dev.Abw]] / Rohdaten!B17</f>
        <v>5.4181818181818185E-2</v>
      </c>
      <c r="D37" s="37">
        <f>Rohdaten!C17-Rohdaten!C35</f>
        <v>-2800</v>
      </c>
      <c r="E37" s="43">
        <f>Tabelle9[[#This Row],[Oper.Abw]]/Rohdaten!C17</f>
        <v>-0.18666666666666668</v>
      </c>
      <c r="F37" s="37">
        <f>Rohdaten!D17-Rohdaten!D35</f>
        <v>200</v>
      </c>
      <c r="G37" s="43">
        <f>Tabelle9[[#This Row],[Mark.Abw]]/ Rohdaten!D17</f>
        <v>0.02</v>
      </c>
      <c r="H37" s="37">
        <f>Rohdaten!E17-Rohdaten!E35</f>
        <v>300</v>
      </c>
      <c r="I37" s="43">
        <f>Tabelle9[[#This Row],[Trav.Abw]]/Rohdaten!E17</f>
        <v>7.4999999999999997E-2</v>
      </c>
      <c r="J37" s="37">
        <f>Rohdaten!F17-Rohdaten!F35</f>
        <v>2500</v>
      </c>
      <c r="K37" s="49">
        <f>Tabelle9[[#This Row],[Train.Abw]]/Rohdaten!F17</f>
        <v>0.3125</v>
      </c>
      <c r="L37" s="11">
        <f>Rohdaten!G17-Rohdaten!G35</f>
        <v>2602</v>
      </c>
      <c r="M37" s="45">
        <f>Tabelle9[[#This Row],[Main.Abw]]/Rohdaten!G17</f>
        <v>0.65049999999999997</v>
      </c>
    </row>
    <row r="38" spans="1:13" x14ac:dyDescent="0.25">
      <c r="A38" s="19">
        <v>45231</v>
      </c>
      <c r="B38" s="37">
        <f>Rohdaten!B18-Rohdaten!B36</f>
        <v>1445</v>
      </c>
      <c r="C38" s="44">
        <f>Tabelle9[[#This Row],[Dev.Abw]] / Rohdaten!B18</f>
        <v>1.2350427350427351E-2</v>
      </c>
      <c r="D38" s="37">
        <f>Rohdaten!C18-Rohdaten!C36</f>
        <v>-1800</v>
      </c>
      <c r="E38" s="43">
        <f>Tabelle9[[#This Row],[Oper.Abw]]/Rohdaten!C18</f>
        <v>-0.12</v>
      </c>
      <c r="F38" s="37">
        <f>Rohdaten!D18-Rohdaten!D36</f>
        <v>100</v>
      </c>
      <c r="G38" s="43">
        <f>Tabelle9[[#This Row],[Mark.Abw]]/ Rohdaten!D18</f>
        <v>3.3333333333333333E-2</v>
      </c>
      <c r="H38" s="37">
        <f>Rohdaten!E18-Rohdaten!E36</f>
        <v>-500</v>
      </c>
      <c r="I38" s="43">
        <f>Tabelle9[[#This Row],[Trav.Abw]]/Rohdaten!E18</f>
        <v>-0.125</v>
      </c>
      <c r="J38" s="37">
        <f>Rohdaten!F18-Rohdaten!F36</f>
        <v>2000</v>
      </c>
      <c r="K38" s="49">
        <f>Tabelle9[[#This Row],[Train.Abw]]/Rohdaten!F18</f>
        <v>0.25</v>
      </c>
      <c r="L38" s="11">
        <f>Rohdaten!G18-Rohdaten!G36</f>
        <v>-1399</v>
      </c>
      <c r="M38" s="45">
        <f>Tabelle9[[#This Row],[Main.Abw]]/Rohdaten!G18</f>
        <v>-0.34975000000000001</v>
      </c>
    </row>
    <row r="39" spans="1:13" x14ac:dyDescent="0.25">
      <c r="A39" s="20">
        <v>45261</v>
      </c>
      <c r="B39" s="37">
        <f>Rohdaten!B19-Rohdaten!B37</f>
        <v>4000</v>
      </c>
      <c r="C39" s="44">
        <f>Tabelle9[[#This Row],[Dev.Abw]] / Rohdaten!B19</f>
        <v>3.4188034188034191E-2</v>
      </c>
      <c r="D39" s="37">
        <f>Rohdaten!C19-Rohdaten!C37</f>
        <v>800</v>
      </c>
      <c r="E39" s="43">
        <f>Tabelle9[[#This Row],[Oper.Abw]]/Rohdaten!C19</f>
        <v>5.3333333333333337E-2</v>
      </c>
      <c r="F39" s="37">
        <f>Rohdaten!D19-Rohdaten!D37</f>
        <v>-200</v>
      </c>
      <c r="G39" s="43">
        <f>Tabelle9[[#This Row],[Mark.Abw]]/ Rohdaten!D19</f>
        <v>-2.8571428571428571E-2</v>
      </c>
      <c r="H39" s="37">
        <f>Rohdaten!E19-Rohdaten!E37</f>
        <v>-800</v>
      </c>
      <c r="I39" s="43">
        <f>Tabelle9[[#This Row],[Trav.Abw]]/Rohdaten!E19</f>
        <v>-0.2</v>
      </c>
      <c r="J39" s="37">
        <f>Rohdaten!F19-Rohdaten!F37</f>
        <v>500</v>
      </c>
      <c r="K39" s="49">
        <f>Tabelle9[[#This Row],[Train.Abw]]/Rohdaten!F19</f>
        <v>6.25E-2</v>
      </c>
      <c r="L39" s="11">
        <f>Rohdaten!G19-Rohdaten!G37</f>
        <v>-590</v>
      </c>
      <c r="M39" s="45">
        <f>Tabelle9[[#This Row],[Main.Abw]]/Rohdaten!G19</f>
        <v>-0.14749999999999999</v>
      </c>
    </row>
    <row r="40" spans="1:13" x14ac:dyDescent="0.25">
      <c r="A40" s="10" t="s">
        <v>13</v>
      </c>
      <c r="B40" s="37">
        <f>SUM(B28:B39)</f>
        <v>25565</v>
      </c>
      <c r="C40" s="46">
        <f>Tabelle9[[#This Row],[Dev.Abw]]/SUM(Tabelle1[Development Kosten])</f>
        <v>1.907551111774362E-2</v>
      </c>
      <c r="D40" s="38">
        <f>SUM(Tabelle1[Operatinal Kosten])-SUM(Tabelle2[Operatinal Kosten])</f>
        <v>-9082</v>
      </c>
      <c r="E40" s="47"/>
      <c r="F40" s="38">
        <f>SUM(Tabelle1[Marketing Kosten])-SUM(Tabelle2[Marketing Kosten])</f>
        <v>5324</v>
      </c>
      <c r="G40" s="47"/>
      <c r="H40" s="38">
        <f>SUM(Tabelle1[Travelling Kosten])-SUM(Tabelle2[Travelling Kosten])</f>
        <v>6700</v>
      </c>
      <c r="I40" s="46"/>
      <c r="J40" s="38">
        <f>SUM(Tabelle1[[Training Kosten ]])-SUM(Tabelle2[[Training Kosten ]])</f>
        <v>18000</v>
      </c>
      <c r="K40" s="48"/>
      <c r="L40" s="39">
        <f>SUM(Tabelle1[[Maintenance Kosten ]])-SUM(Tabelle2[[Maintenance Kosten ]])</f>
        <v>-2487</v>
      </c>
      <c r="M40" s="47"/>
    </row>
  </sheetData>
  <phoneticPr fontId="6" type="noConversion"/>
  <conditionalFormatting sqref="D5:D17">
    <cfRule type="expression" dxfId="20" priority="20">
      <formula>$D5&lt;0</formula>
    </cfRule>
  </conditionalFormatting>
  <conditionalFormatting sqref="E5:E17">
    <cfRule type="expression" dxfId="19" priority="17">
      <formula>$E5&lt;0</formula>
    </cfRule>
    <cfRule type="expression" dxfId="18" priority="19">
      <formula>"$E5&lt;0"</formula>
    </cfRule>
  </conditionalFormatting>
  <conditionalFormatting sqref="B28:C28 B29:B40 C29:C39">
    <cfRule type="expression" dxfId="17" priority="11">
      <formula>$J28&lt;0</formula>
    </cfRule>
  </conditionalFormatting>
  <conditionalFormatting sqref="D28:E39">
    <cfRule type="expression" dxfId="16" priority="10">
      <formula>$L28&lt;0</formula>
    </cfRule>
  </conditionalFormatting>
  <conditionalFormatting sqref="I28:I39 M28:M39 K28:K39 F28:G39">
    <cfRule type="expression" dxfId="15" priority="8">
      <formula>F28&lt;0</formula>
    </cfRule>
  </conditionalFormatting>
  <conditionalFormatting sqref="H28:H39">
    <cfRule type="expression" dxfId="14" priority="7">
      <formula>H28&lt;0</formula>
    </cfRule>
  </conditionalFormatting>
  <conditionalFormatting sqref="J28:J39">
    <cfRule type="expression" dxfId="13" priority="6">
      <formula>J28&lt;0</formula>
    </cfRule>
  </conditionalFormatting>
  <conditionalFormatting sqref="L28:L39">
    <cfRule type="expression" dxfId="12" priority="5">
      <formula>L28&lt;0</formula>
    </cfRule>
  </conditionalFormatting>
  <conditionalFormatting sqref="B28:B40">
    <cfRule type="expression" dxfId="11" priority="4">
      <formula>B28&lt;0</formula>
    </cfRule>
  </conditionalFormatting>
  <conditionalFormatting sqref="C28:C39">
    <cfRule type="expression" dxfId="10" priority="3">
      <formula>C28&lt;0</formula>
    </cfRule>
  </conditionalFormatting>
  <conditionalFormatting sqref="D28:D39">
    <cfRule type="expression" dxfId="9" priority="2">
      <formula>D28&lt;0</formula>
    </cfRule>
  </conditionalFormatting>
  <conditionalFormatting sqref="E28:E39">
    <cfRule type="expression" dxfId="8" priority="1">
      <formula>E28&lt;0</formula>
    </cfRule>
  </conditionalFormatting>
  <pageMargins left="0.7" right="0.7" top="0.78740157499999996" bottom="0.78740157499999996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BA552EBC-90AF-4341-B536-DE10EEE118E9}">
            <x14:iconSet showValue="0" custom="1">
              <x14:cfvo type="percent">
                <xm:f>0</xm:f>
              </x14:cfvo>
              <x14:cfvo type="num">
                <xm:f>0.05</xm:f>
              </x14:cfvo>
              <x14:cfvo type="num">
                <xm:f>0.1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F5:F17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9812-500F-814E-8CCB-BD30FB1EC90C}">
  <dimension ref="A8:G16"/>
  <sheetViews>
    <sheetView workbookViewId="0">
      <selection activeCell="I23" sqref="I23"/>
    </sheetView>
  </sheetViews>
  <sheetFormatPr baseColWidth="10" defaultRowHeight="17" x14ac:dyDescent="0.25"/>
  <cols>
    <col min="1" max="1" width="18.5" bestFit="1" customWidth="1"/>
    <col min="2" max="2" width="16.83203125" customWidth="1"/>
    <col min="3" max="3" width="17" customWidth="1"/>
    <col min="5" max="5" width="10.83203125" customWidth="1"/>
    <col min="6" max="6" width="15" customWidth="1"/>
  </cols>
  <sheetData>
    <row r="8" spans="1:7" ht="21" x14ac:dyDescent="0.3">
      <c r="A8" s="51"/>
      <c r="B8" s="16" t="s">
        <v>47</v>
      </c>
      <c r="C8" s="51"/>
      <c r="D8" s="51"/>
      <c r="E8" s="51"/>
      <c r="F8" s="51"/>
      <c r="G8" s="51"/>
    </row>
    <row r="9" spans="1:7" ht="19" x14ac:dyDescent="0.3">
      <c r="A9" s="17" t="s">
        <v>23</v>
      </c>
      <c r="B9" t="s">
        <v>28</v>
      </c>
      <c r="C9" s="18" t="s">
        <v>29</v>
      </c>
      <c r="D9" t="s">
        <v>14</v>
      </c>
      <c r="E9" t="s">
        <v>15</v>
      </c>
      <c r="F9" t="s">
        <v>30</v>
      </c>
      <c r="G9" t="s">
        <v>22</v>
      </c>
    </row>
    <row r="10" spans="1:7" x14ac:dyDescent="0.25">
      <c r="A10" t="s">
        <v>3</v>
      </c>
      <c r="B10" s="5">
        <f>SUM(Tabelle1[Development Kosten])</f>
        <v>1340200</v>
      </c>
      <c r="C10" s="5">
        <f>SUM(Tabelle2[Development kosten])</f>
        <v>1314635</v>
      </c>
      <c r="D10" s="5">
        <f>Tabelle7[[#This Row],[Budget Gesamt ]]-Tabelle7[[#This Row],[Ist Gesamt ]]</f>
        <v>25565</v>
      </c>
      <c r="E10" s="15">
        <f>Tabelle7[[#This Row],[Abw.]]/Tabelle7[[#This Row],[Budget Gesamt ]]</f>
        <v>1.907551111774362E-2</v>
      </c>
      <c r="F10" s="15">
        <f>Tabelle7[[#This Row],[Budget Gesamt ]]/$B$16</f>
        <v>0.76052661445919878</v>
      </c>
      <c r="G10">
        <f>ABS(Tabelle7[[#This Row],[Abw.%]])</f>
        <v>1.907551111774362E-2</v>
      </c>
    </row>
    <row r="11" spans="1:7" x14ac:dyDescent="0.25">
      <c r="A11" t="s">
        <v>24</v>
      </c>
      <c r="B11" s="5">
        <f>SUM(Tabelle1[Operatinal Kosten])</f>
        <v>165000</v>
      </c>
      <c r="C11" s="5">
        <f>SUM(Tabelle2[Operatinal Kosten])</f>
        <v>174082</v>
      </c>
      <c r="D11" s="5">
        <f>Tabelle7[[#This Row],[Budget Gesamt ]]-Tabelle7[[#This Row],[Ist Gesamt ]]</f>
        <v>-9082</v>
      </c>
      <c r="E11" s="15">
        <f>Tabelle7[[#This Row],[Abw.]]/Tabelle7[[#This Row],[Budget Gesamt ]]</f>
        <v>-5.504242424242424E-2</v>
      </c>
      <c r="F11" s="15">
        <f>Tabelle7[[#This Row],[Budget Gesamt ]]/$B$16</f>
        <v>9.3632958801498134E-2</v>
      </c>
      <c r="G11">
        <f>ABS(Tabelle7[[#This Row],[Abw.%]])</f>
        <v>5.504242424242424E-2</v>
      </c>
    </row>
    <row r="12" spans="1:7" x14ac:dyDescent="0.25">
      <c r="A12" t="s">
        <v>25</v>
      </c>
      <c r="B12" s="5">
        <f>SUM(Tabelle1[Marketing Kosten])</f>
        <v>75000</v>
      </c>
      <c r="C12" s="5">
        <f>SUM(Tabelle2[Marketing Kosten])</f>
        <v>69676</v>
      </c>
      <c r="D12" s="5">
        <f>Tabelle7[[#This Row],[Budget Gesamt ]]-Tabelle7[[#This Row],[Ist Gesamt ]]</f>
        <v>5324</v>
      </c>
      <c r="E12" s="15">
        <f>Tabelle7[[#This Row],[Abw.]]/Tabelle7[[#This Row],[Budget Gesamt ]]</f>
        <v>7.098666666666667E-2</v>
      </c>
      <c r="F12" s="15">
        <f>Tabelle7[[#This Row],[Budget Gesamt ]]/$B$16</f>
        <v>4.2560435818862784E-2</v>
      </c>
      <c r="G12">
        <f>ABS(Tabelle7[[#This Row],[Abw.%]])</f>
        <v>7.098666666666667E-2</v>
      </c>
    </row>
    <row r="13" spans="1:7" x14ac:dyDescent="0.25">
      <c r="A13" t="s">
        <v>26</v>
      </c>
      <c r="B13" s="5">
        <f>SUM(Tabelle1[Travelling Kosten])</f>
        <v>48000</v>
      </c>
      <c r="C13" s="5">
        <f>SUM(Tabelle2[Travelling Kosten])</f>
        <v>41300</v>
      </c>
      <c r="D13" s="5">
        <f>Tabelle7[[#This Row],[Budget Gesamt ]]-Tabelle7[[#This Row],[Ist Gesamt ]]</f>
        <v>6700</v>
      </c>
      <c r="E13" s="15">
        <f>Tabelle7[[#This Row],[Abw.]]/Tabelle7[[#This Row],[Budget Gesamt ]]</f>
        <v>0.13958333333333334</v>
      </c>
      <c r="F13" s="15">
        <f>Tabelle7[[#This Row],[Budget Gesamt ]]/$B$16</f>
        <v>2.7238678924072182E-2</v>
      </c>
      <c r="G13">
        <f>ABS(Tabelle7[[#This Row],[Abw.%]])</f>
        <v>0.13958333333333334</v>
      </c>
    </row>
    <row r="14" spans="1:7" x14ac:dyDescent="0.25">
      <c r="A14" t="s">
        <v>7</v>
      </c>
      <c r="B14" s="5">
        <f>SUM(Tabelle1[[Training Kosten ]])</f>
        <v>86000</v>
      </c>
      <c r="C14" s="5">
        <f>SUM(Tabelle2[[Training Kosten ]])</f>
        <v>68000</v>
      </c>
      <c r="D14" s="5">
        <f>Tabelle7[[#This Row],[Budget Gesamt ]]-Tabelle7[[#This Row],[Ist Gesamt ]]</f>
        <v>18000</v>
      </c>
      <c r="E14" s="15">
        <f>Tabelle7[[#This Row],[Abw.]]/Tabelle7[[#This Row],[Budget Gesamt ]]</f>
        <v>0.20930232558139536</v>
      </c>
      <c r="F14" s="15">
        <f>Tabelle7[[#This Row],[Budget Gesamt ]]/$B$16</f>
        <v>4.8802633072295994E-2</v>
      </c>
      <c r="G14">
        <f>ABS(Tabelle7[[#This Row],[Abw.%]])</f>
        <v>0.20930232558139536</v>
      </c>
    </row>
    <row r="15" spans="1:7" x14ac:dyDescent="0.25">
      <c r="A15" t="s">
        <v>27</v>
      </c>
      <c r="B15" s="5">
        <f>SUM(Tabelle1[[Maintenance Kosten ]])</f>
        <v>48000</v>
      </c>
      <c r="C15" s="5">
        <f>SUM(Tabelle2[[Maintenance Kosten ]])</f>
        <v>50487</v>
      </c>
      <c r="D15" s="5">
        <f>Tabelle7[[#This Row],[Budget Gesamt ]]-Tabelle7[[#This Row],[Ist Gesamt ]]</f>
        <v>-2487</v>
      </c>
      <c r="E15" s="15">
        <f>Tabelle7[[#This Row],[Abw.]]/Tabelle7[[#This Row],[Budget Gesamt ]]</f>
        <v>-5.1812499999999997E-2</v>
      </c>
      <c r="F15" s="15">
        <f>Tabelle7[[#This Row],[Budget Gesamt ]]/$B$16</f>
        <v>2.7238678924072182E-2</v>
      </c>
      <c r="G15">
        <f>ABS(Tabelle7[[#This Row],[Abw.%]])</f>
        <v>5.1812499999999997E-2</v>
      </c>
    </row>
    <row r="16" spans="1:7" x14ac:dyDescent="0.25">
      <c r="A16" t="s">
        <v>13</v>
      </c>
      <c r="B16" s="5">
        <f>SUM(B10:B15)</f>
        <v>1762200</v>
      </c>
      <c r="C16" s="5">
        <f>SUM(C10:C15)</f>
        <v>1718180</v>
      </c>
      <c r="D16" s="5">
        <f>Tabelle7[[#This Row],[Budget Gesamt ]]-Tabelle7[[#This Row],[Ist Gesamt ]]</f>
        <v>44020</v>
      </c>
      <c r="E16" s="15">
        <f>Tabelle7[[#This Row],[Abw.]]/Tabelle7[[#This Row],[Budget Gesamt ]]</f>
        <v>2.4980138463284531E-2</v>
      </c>
      <c r="F16" s="15">
        <f>Tabelle7[[#This Row],[Budget Gesamt ]]/$B$16</f>
        <v>1</v>
      </c>
      <c r="G16">
        <f>ABS(Tabelle7[[#This Row],[Abw.%]])</f>
        <v>2.4980138463284531E-2</v>
      </c>
    </row>
  </sheetData>
  <conditionalFormatting sqref="D10:D16">
    <cfRule type="expression" dxfId="7" priority="4">
      <formula>"D10&lt;0"</formula>
    </cfRule>
  </conditionalFormatting>
  <conditionalFormatting sqref="D10:D16">
    <cfRule type="expression" dxfId="6" priority="3">
      <formula>D10&lt;0</formula>
    </cfRule>
  </conditionalFormatting>
  <conditionalFormatting sqref="E10:E16">
    <cfRule type="expression" dxfId="5" priority="2">
      <formula>E10&lt;0</formula>
    </cfRule>
  </conditionalFormatting>
  <conditionalFormatting sqref="G10:G16">
    <cfRule type="iconSet" priority="1">
      <iconSet showValue="0" reverse="1">
        <cfvo type="percent" val="0"/>
        <cfvo type="num" val="0.05"/>
        <cfvo type="num" val="0.1"/>
      </iconSet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F44A-3FA5-1A40-B63C-C0375FA15176}">
  <dimension ref="B2:P6"/>
  <sheetViews>
    <sheetView showGridLines="0" tabSelected="1" topLeftCell="A2" workbookViewId="0">
      <selection activeCell="C26" sqref="C26"/>
    </sheetView>
  </sheetViews>
  <sheetFormatPr baseColWidth="10" defaultRowHeight="17" x14ac:dyDescent="0.25"/>
  <cols>
    <col min="2" max="2" width="9" customWidth="1"/>
    <col min="3" max="3" width="23" bestFit="1" customWidth="1"/>
  </cols>
  <sheetData>
    <row r="2" spans="2:16" ht="46" customHeight="1" x14ac:dyDescent="0.35">
      <c r="D2" s="40"/>
      <c r="E2" s="40"/>
      <c r="F2" s="42" t="s">
        <v>38</v>
      </c>
      <c r="G2" s="41"/>
      <c r="H2" s="40"/>
      <c r="I2" s="40"/>
      <c r="J2" s="40"/>
      <c r="K2" s="40"/>
      <c r="L2" s="40"/>
      <c r="M2" s="40"/>
    </row>
    <row r="3" spans="2:16" ht="23" customHeight="1" x14ac:dyDescent="0.25"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2:16" x14ac:dyDescent="0.25">
      <c r="G4" s="29"/>
    </row>
    <row r="5" spans="2:16" ht="26" x14ac:dyDescent="0.35">
      <c r="B5" s="22"/>
      <c r="C5" s="24" t="s">
        <v>31</v>
      </c>
      <c r="D5" s="23"/>
      <c r="F5" s="28"/>
      <c r="G5" s="30" t="s">
        <v>33</v>
      </c>
      <c r="H5" s="28"/>
      <c r="J5" s="22"/>
      <c r="K5" s="30" t="s">
        <v>35</v>
      </c>
      <c r="L5" s="22"/>
      <c r="N5" s="35"/>
      <c r="O5" s="34" t="s">
        <v>37</v>
      </c>
      <c r="P5" s="22"/>
    </row>
    <row r="6" spans="2:16" ht="24" x14ac:dyDescent="0.3">
      <c r="B6" s="26"/>
      <c r="C6" s="27" t="s">
        <v>32</v>
      </c>
      <c r="D6" s="25"/>
      <c r="F6" s="25"/>
      <c r="G6" s="31" t="s">
        <v>34</v>
      </c>
      <c r="H6" s="25"/>
      <c r="J6" s="32"/>
      <c r="K6" s="33" t="s">
        <v>36</v>
      </c>
      <c r="L6" s="25"/>
      <c r="N6" s="25"/>
      <c r="O6" s="36">
        <v>2.5000000000000001E-2</v>
      </c>
      <c r="P6" s="25"/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14C86A1E-70A3-4E2F-B40C-B13CCFB43E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EBA771-2412-4D64-B86F-2F10E8A8D5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18AB98-07E6-4640-A78A-E64A00711131}">
  <ds:schemaRefs>
    <ds:schemaRef ds:uri="http://purl.org/dc/terms/"/>
    <ds:schemaRef ds:uri="16c05727-aa75-4e4a-9b5f-8a80a1165891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71af3243-3dd4-4a8d-8c0d-dd76da1f02a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Rohdaten</vt:lpstr>
      <vt:lpstr>Budget_vs_Ist Analyse</vt:lpstr>
      <vt:lpstr>Kostenarten Analyse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2019-04-29T21:33:24Z</dcterms:created>
  <dcterms:modified xsi:type="dcterms:W3CDTF">2026-03-26T21:59:18Z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